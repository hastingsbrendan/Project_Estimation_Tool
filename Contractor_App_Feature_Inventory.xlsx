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-Feature-Inventory" sheetId="1" state="visible" r:id="rId1"/>
    <sheet xmlns:r="http://schemas.openxmlformats.org/officeDocument/2006/relationships" name="O-Phase-Summary" sheetId="2" state="visible" r:id="rId2"/>
    <sheet xmlns:r="http://schemas.openxmlformats.org/officeDocument/2006/relationships" name="C-Feature-Calcs" sheetId="3" state="visible" r:id="rId3"/>
    <sheet xmlns:r="http://schemas.openxmlformats.org/officeDocument/2006/relationships" name="I-Features" sheetId="4" state="visible" r:id="rId4"/>
    <sheet xmlns:r="http://schemas.openxmlformats.org/officeDocument/2006/relationships" name="A-Specific" sheetId="5" state="visible" r:id="rId5"/>
    <sheet xmlns:r="http://schemas.openxmlformats.org/officeDocument/2006/relationships" name="Z-Validation-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808080"/>
      <sz val="8"/>
    </font>
    <font>
      <name val="Arial"/>
      <b val="1"/>
      <color rgb="00FFFFFF"/>
      <sz val="8"/>
    </font>
    <font>
      <name val="Calibri Light"/>
      <sz val="24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D5F5D5"/>
      </patternFill>
    </fill>
    <fill>
      <patternFill patternType="solid">
        <fgColor rgb="00D6E9F8"/>
      </patternFill>
    </fill>
    <fill>
      <patternFill patternType="solid">
        <fgColor rgb="00CCEDEC"/>
      </patternFill>
    </fill>
    <fill>
      <patternFill patternType="solid">
        <fgColor rgb="00FBE3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pivotButton="0" quotePrefix="0" xfId="0"/>
    <xf numFmtId="9" fontId="5" fillId="3" borderId="0" pivotButton="0" quotePrefix="0" xfId="0"/>
    <xf numFmtId="0" fontId="5" fillId="4" borderId="0" pivotButton="0" quotePrefix="0" xfId="0"/>
    <xf numFmtId="9" fontId="5" fillId="4" borderId="0" pivotButton="0" quotePrefix="0" xfId="0"/>
    <xf numFmtId="0" fontId="5" fillId="5" borderId="0" pivotButton="0" quotePrefix="0" xfId="0"/>
    <xf numFmtId="9" fontId="5" fillId="5" borderId="0" pivotButton="0" quotePrefix="0" xfId="0"/>
    <xf numFmtId="0" fontId="5" fillId="6" borderId="0" pivotButton="0" quotePrefix="0" xfId="0"/>
    <xf numFmtId="9" fontId="5" fillId="6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8">
    <dxf>
      <fill>
        <patternFill patternType="solid">
          <fgColor rgb="0022A861"/>
        </patternFill>
      </fill>
    </dxf>
    <dxf>
      <fill>
        <patternFill patternType="solid">
          <fgColor rgb="00C4262E"/>
        </patternFill>
      </fill>
    </dxf>
    <dxf>
      <fill>
        <patternFill patternType="solid">
          <fgColor rgb="00D5F5D5"/>
        </patternFill>
      </fill>
    </dxf>
    <dxf>
      <fill>
        <patternFill patternType="solid">
          <fgColor rgb="00D6E9F8"/>
        </patternFill>
      </fill>
    </dxf>
    <dxf>
      <fill>
        <patternFill patternType="solid">
          <fgColor rgb="00CCEDEC"/>
        </patternFill>
      </fill>
    </dxf>
    <dxf>
      <fill>
        <patternFill patternType="solid">
          <fgColor rgb="00FBE3D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BE3D6"/>
    <outlinePr summaryBelow="1" summaryRight="1"/>
    <pageSetUpPr/>
  </sheetPr>
  <dimension ref="A1:K19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9" customWidth="1" min="1" max="1"/>
    <col width="2.66" customWidth="1" min="2" max="2"/>
    <col width="5" customWidth="1" min="3" max="3"/>
    <col width="12" customWidth="1" min="4" max="4"/>
    <col width="14" customWidth="1" min="5" max="5"/>
    <col width="36" customWidth="1" min="6" max="6"/>
    <col width="10" customWidth="1" min="7" max="7"/>
    <col width="9" customWidth="1" min="8" max="8"/>
    <col width="8" customWidth="1" min="9" max="9"/>
    <col width="14" customWidth="1" min="10" max="10"/>
    <col width="10" customWidth="1" min="11" max="11"/>
  </cols>
  <sheetData>
    <row r="1">
      <c r="A1" s="1" t="n"/>
      <c r="C1" s="2">
        <f>MID(CELL("filename",A1),FIND("[",CELL("filename",A1))+1,FIND("]",CELL("filename",A1))-FIND("[",CELL("filename",A1))-1)&amp;" - "&amp;MID(CELL("filename",A1),FIND("]",CELL("filename",A1))+1,255)</f>
        <v/>
      </c>
    </row>
    <row r="2">
      <c r="A2" s="1" t="n"/>
    </row>
    <row r="3" ht="32" customHeight="1">
      <c r="A3" s="3">
        <f>IF('Z-Validation-Checks'!D8="OK","OK","ERROR")</f>
        <v/>
      </c>
      <c r="C3" s="4" t="inlineStr">
        <is>
          <t>O-Feature-Inventory — Master View</t>
        </is>
      </c>
    </row>
    <row r="4">
      <c r="A4" s="1" t="n"/>
    </row>
    <row r="5">
      <c r="A5" s="1" t="n"/>
    </row>
    <row r="6">
      <c r="A6" s="1" t="n"/>
    </row>
    <row r="7">
      <c r="A7" s="1" t="n"/>
      <c r="C7" s="5" t="inlineStr">
        <is>
          <t>#</t>
        </is>
      </c>
      <c r="D7" s="5" t="inlineStr">
        <is>
          <t>Feature_ID</t>
        </is>
      </c>
      <c r="E7" s="5" t="inlineStr">
        <is>
          <t>Category</t>
        </is>
      </c>
      <c r="F7" s="5" t="inlineStr">
        <is>
          <t>Feature_Name</t>
        </is>
      </c>
      <c r="G7" s="5" t="inlineStr">
        <is>
          <t>Phase</t>
        </is>
      </c>
      <c r="H7" s="5" t="inlineStr">
        <is>
          <t>Priority</t>
        </is>
      </c>
      <c r="I7" s="5" t="inlineStr">
        <is>
          <t>Effort</t>
        </is>
      </c>
      <c r="J7" s="5" t="inlineStr">
        <is>
          <t>Status</t>
        </is>
      </c>
      <c r="K7" s="5" t="inlineStr">
        <is>
          <t>Owner</t>
        </is>
      </c>
    </row>
    <row r="8" ht="22" customHeight="1">
      <c r="A8" s="1" t="n"/>
      <c r="C8" s="6" t="n">
        <v>1</v>
      </c>
      <c r="D8" s="7">
        <f>'I-Features'!C8</f>
        <v/>
      </c>
      <c r="E8" s="7">
        <f>'I-Features'!D8</f>
        <v/>
      </c>
      <c r="F8" s="7">
        <f>'I-Features'!E8</f>
        <v/>
      </c>
      <c r="G8" s="7">
        <f>'I-Features'!H8</f>
        <v/>
      </c>
      <c r="H8" s="7">
        <f>'I-Features'!I8</f>
        <v/>
      </c>
      <c r="I8" s="7">
        <f>'I-Features'!J8</f>
        <v/>
      </c>
      <c r="J8" s="7">
        <f>'I-Features'!M8</f>
        <v/>
      </c>
      <c r="K8" s="7">
        <f>'I-Features'!L8</f>
        <v/>
      </c>
    </row>
    <row r="9" ht="22" customHeight="1">
      <c r="A9" s="1" t="n"/>
      <c r="C9" s="6" t="n">
        <v>2</v>
      </c>
      <c r="D9" s="7">
        <f>'I-Features'!C9</f>
        <v/>
      </c>
      <c r="E9" s="7">
        <f>'I-Features'!D9</f>
        <v/>
      </c>
      <c r="F9" s="7">
        <f>'I-Features'!E9</f>
        <v/>
      </c>
      <c r="G9" s="7">
        <f>'I-Features'!H9</f>
        <v/>
      </c>
      <c r="H9" s="7">
        <f>'I-Features'!I9</f>
        <v/>
      </c>
      <c r="I9" s="7">
        <f>'I-Features'!J9</f>
        <v/>
      </c>
      <c r="J9" s="7">
        <f>'I-Features'!M9</f>
        <v/>
      </c>
      <c r="K9" s="7">
        <f>'I-Features'!L9</f>
        <v/>
      </c>
    </row>
    <row r="10" ht="22" customHeight="1">
      <c r="A10" s="1" t="n"/>
      <c r="C10" s="6" t="n">
        <v>3</v>
      </c>
      <c r="D10" s="7">
        <f>'I-Features'!C10</f>
        <v/>
      </c>
      <c r="E10" s="7">
        <f>'I-Features'!D10</f>
        <v/>
      </c>
      <c r="F10" s="7">
        <f>'I-Features'!E10</f>
        <v/>
      </c>
      <c r="G10" s="7">
        <f>'I-Features'!H10</f>
        <v/>
      </c>
      <c r="H10" s="7">
        <f>'I-Features'!I10</f>
        <v/>
      </c>
      <c r="I10" s="7">
        <f>'I-Features'!J10</f>
        <v/>
      </c>
      <c r="J10" s="7">
        <f>'I-Features'!M10</f>
        <v/>
      </c>
      <c r="K10" s="7">
        <f>'I-Features'!L10</f>
        <v/>
      </c>
    </row>
    <row r="11" ht="22" customHeight="1">
      <c r="A11" s="1" t="n"/>
      <c r="C11" s="6" t="n">
        <v>4</v>
      </c>
      <c r="D11" s="7">
        <f>'I-Features'!C11</f>
        <v/>
      </c>
      <c r="E11" s="7">
        <f>'I-Features'!D11</f>
        <v/>
      </c>
      <c r="F11" s="7">
        <f>'I-Features'!E11</f>
        <v/>
      </c>
      <c r="G11" s="7">
        <f>'I-Features'!H11</f>
        <v/>
      </c>
      <c r="H11" s="7">
        <f>'I-Features'!I11</f>
        <v/>
      </c>
      <c r="I11" s="7">
        <f>'I-Features'!J11</f>
        <v/>
      </c>
      <c r="J11" s="7">
        <f>'I-Features'!M11</f>
        <v/>
      </c>
      <c r="K11" s="7">
        <f>'I-Features'!L11</f>
        <v/>
      </c>
    </row>
    <row r="12" ht="22" customHeight="1">
      <c r="A12" s="1" t="n"/>
      <c r="C12" s="6" t="n">
        <v>5</v>
      </c>
      <c r="D12" s="7">
        <f>'I-Features'!C12</f>
        <v/>
      </c>
      <c r="E12" s="7">
        <f>'I-Features'!D12</f>
        <v/>
      </c>
      <c r="F12" s="7">
        <f>'I-Features'!E12</f>
        <v/>
      </c>
      <c r="G12" s="7">
        <f>'I-Features'!H12</f>
        <v/>
      </c>
      <c r="H12" s="7">
        <f>'I-Features'!I12</f>
        <v/>
      </c>
      <c r="I12" s="7">
        <f>'I-Features'!J12</f>
        <v/>
      </c>
      <c r="J12" s="7">
        <f>'I-Features'!M12</f>
        <v/>
      </c>
      <c r="K12" s="7">
        <f>'I-Features'!L12</f>
        <v/>
      </c>
    </row>
    <row r="13" ht="22" customHeight="1">
      <c r="A13" s="1" t="n"/>
      <c r="C13" s="6" t="n">
        <v>6</v>
      </c>
      <c r="D13" s="7">
        <f>'I-Features'!C13</f>
        <v/>
      </c>
      <c r="E13" s="7">
        <f>'I-Features'!D13</f>
        <v/>
      </c>
      <c r="F13" s="7">
        <f>'I-Features'!E13</f>
        <v/>
      </c>
      <c r="G13" s="7">
        <f>'I-Features'!H13</f>
        <v/>
      </c>
      <c r="H13" s="7">
        <f>'I-Features'!I13</f>
        <v/>
      </c>
      <c r="I13" s="7">
        <f>'I-Features'!J13</f>
        <v/>
      </c>
      <c r="J13" s="7">
        <f>'I-Features'!M13</f>
        <v/>
      </c>
      <c r="K13" s="7">
        <f>'I-Features'!L13</f>
        <v/>
      </c>
    </row>
    <row r="14" ht="22" customHeight="1">
      <c r="A14" s="1" t="n"/>
      <c r="C14" s="6" t="n">
        <v>7</v>
      </c>
      <c r="D14" s="7">
        <f>'I-Features'!C14</f>
        <v/>
      </c>
      <c r="E14" s="7">
        <f>'I-Features'!D14</f>
        <v/>
      </c>
      <c r="F14" s="7">
        <f>'I-Features'!E14</f>
        <v/>
      </c>
      <c r="G14" s="7">
        <f>'I-Features'!H14</f>
        <v/>
      </c>
      <c r="H14" s="7">
        <f>'I-Features'!I14</f>
        <v/>
      </c>
      <c r="I14" s="7">
        <f>'I-Features'!J14</f>
        <v/>
      </c>
      <c r="J14" s="7">
        <f>'I-Features'!M14</f>
        <v/>
      </c>
      <c r="K14" s="7">
        <f>'I-Features'!L14</f>
        <v/>
      </c>
    </row>
    <row r="15" ht="22" customHeight="1">
      <c r="A15" s="1" t="n"/>
      <c r="C15" s="6" t="n">
        <v>8</v>
      </c>
      <c r="D15" s="7">
        <f>'I-Features'!C15</f>
        <v/>
      </c>
      <c r="E15" s="7">
        <f>'I-Features'!D15</f>
        <v/>
      </c>
      <c r="F15" s="7">
        <f>'I-Features'!E15</f>
        <v/>
      </c>
      <c r="G15" s="7">
        <f>'I-Features'!H15</f>
        <v/>
      </c>
      <c r="H15" s="7">
        <f>'I-Features'!I15</f>
        <v/>
      </c>
      <c r="I15" s="7">
        <f>'I-Features'!J15</f>
        <v/>
      </c>
      <c r="J15" s="7">
        <f>'I-Features'!M15</f>
        <v/>
      </c>
      <c r="K15" s="7">
        <f>'I-Features'!L15</f>
        <v/>
      </c>
    </row>
    <row r="16" ht="22" customHeight="1">
      <c r="A16" s="1" t="n"/>
      <c r="C16" s="6" t="n">
        <v>9</v>
      </c>
      <c r="D16" s="7">
        <f>'I-Features'!C16</f>
        <v/>
      </c>
      <c r="E16" s="7">
        <f>'I-Features'!D16</f>
        <v/>
      </c>
      <c r="F16" s="7">
        <f>'I-Features'!E16</f>
        <v/>
      </c>
      <c r="G16" s="7">
        <f>'I-Features'!H16</f>
        <v/>
      </c>
      <c r="H16" s="7">
        <f>'I-Features'!I16</f>
        <v/>
      </c>
      <c r="I16" s="7">
        <f>'I-Features'!J16</f>
        <v/>
      </c>
      <c r="J16" s="7">
        <f>'I-Features'!M16</f>
        <v/>
      </c>
      <c r="K16" s="7">
        <f>'I-Features'!L16</f>
        <v/>
      </c>
    </row>
    <row r="17" ht="22" customHeight="1">
      <c r="A17" s="1" t="n"/>
      <c r="C17" s="6" t="n">
        <v>10</v>
      </c>
      <c r="D17" s="7">
        <f>'I-Features'!C17</f>
        <v/>
      </c>
      <c r="E17" s="7">
        <f>'I-Features'!D17</f>
        <v/>
      </c>
      <c r="F17" s="7">
        <f>'I-Features'!E17</f>
        <v/>
      </c>
      <c r="G17" s="7">
        <f>'I-Features'!H17</f>
        <v/>
      </c>
      <c r="H17" s="7">
        <f>'I-Features'!I17</f>
        <v/>
      </c>
      <c r="I17" s="7">
        <f>'I-Features'!J17</f>
        <v/>
      </c>
      <c r="J17" s="7">
        <f>'I-Features'!M17</f>
        <v/>
      </c>
      <c r="K17" s="7">
        <f>'I-Features'!L17</f>
        <v/>
      </c>
    </row>
    <row r="18" ht="22" customHeight="1">
      <c r="A18" s="1" t="n"/>
      <c r="C18" s="6" t="n">
        <v>11</v>
      </c>
      <c r="D18" s="7">
        <f>'I-Features'!C18</f>
        <v/>
      </c>
      <c r="E18" s="7">
        <f>'I-Features'!D18</f>
        <v/>
      </c>
      <c r="F18" s="7">
        <f>'I-Features'!E18</f>
        <v/>
      </c>
      <c r="G18" s="7">
        <f>'I-Features'!H18</f>
        <v/>
      </c>
      <c r="H18" s="7">
        <f>'I-Features'!I18</f>
        <v/>
      </c>
      <c r="I18" s="7">
        <f>'I-Features'!J18</f>
        <v/>
      </c>
      <c r="J18" s="7">
        <f>'I-Features'!M18</f>
        <v/>
      </c>
      <c r="K18" s="7">
        <f>'I-Features'!L18</f>
        <v/>
      </c>
    </row>
    <row r="19" ht="22" customHeight="1">
      <c r="A19" s="1" t="n"/>
      <c r="C19" s="6" t="n">
        <v>12</v>
      </c>
      <c r="D19" s="7">
        <f>'I-Features'!C19</f>
        <v/>
      </c>
      <c r="E19" s="7">
        <f>'I-Features'!D19</f>
        <v/>
      </c>
      <c r="F19" s="7">
        <f>'I-Features'!E19</f>
        <v/>
      </c>
      <c r="G19" s="7">
        <f>'I-Features'!H19</f>
        <v/>
      </c>
      <c r="H19" s="7">
        <f>'I-Features'!I19</f>
        <v/>
      </c>
      <c r="I19" s="7">
        <f>'I-Features'!J19</f>
        <v/>
      </c>
      <c r="J19" s="7">
        <f>'I-Features'!M19</f>
        <v/>
      </c>
      <c r="K19" s="7">
        <f>'I-Features'!L19</f>
        <v/>
      </c>
    </row>
    <row r="20" ht="22" customHeight="1">
      <c r="A20" s="1" t="n"/>
      <c r="C20" s="6" t="n">
        <v>13</v>
      </c>
      <c r="D20" s="7">
        <f>'I-Features'!C20</f>
        <v/>
      </c>
      <c r="E20" s="7">
        <f>'I-Features'!D20</f>
        <v/>
      </c>
      <c r="F20" s="7">
        <f>'I-Features'!E20</f>
        <v/>
      </c>
      <c r="G20" s="7">
        <f>'I-Features'!H20</f>
        <v/>
      </c>
      <c r="H20" s="7">
        <f>'I-Features'!I20</f>
        <v/>
      </c>
      <c r="I20" s="7">
        <f>'I-Features'!J20</f>
        <v/>
      </c>
      <c r="J20" s="7">
        <f>'I-Features'!M20</f>
        <v/>
      </c>
      <c r="K20" s="7">
        <f>'I-Features'!L20</f>
        <v/>
      </c>
    </row>
    <row r="21" ht="22" customHeight="1">
      <c r="A21" s="1" t="n"/>
      <c r="C21" s="6" t="n">
        <v>14</v>
      </c>
      <c r="D21" s="7">
        <f>'I-Features'!C21</f>
        <v/>
      </c>
      <c r="E21" s="7">
        <f>'I-Features'!D21</f>
        <v/>
      </c>
      <c r="F21" s="7">
        <f>'I-Features'!E21</f>
        <v/>
      </c>
      <c r="G21" s="7">
        <f>'I-Features'!H21</f>
        <v/>
      </c>
      <c r="H21" s="7">
        <f>'I-Features'!I21</f>
        <v/>
      </c>
      <c r="I21" s="7">
        <f>'I-Features'!J21</f>
        <v/>
      </c>
      <c r="J21" s="7">
        <f>'I-Features'!M21</f>
        <v/>
      </c>
      <c r="K21" s="7">
        <f>'I-Features'!L21</f>
        <v/>
      </c>
    </row>
    <row r="22" ht="22" customHeight="1">
      <c r="A22" s="1" t="n"/>
      <c r="C22" s="6" t="n">
        <v>15</v>
      </c>
      <c r="D22" s="7">
        <f>'I-Features'!C22</f>
        <v/>
      </c>
      <c r="E22" s="7">
        <f>'I-Features'!D22</f>
        <v/>
      </c>
      <c r="F22" s="7">
        <f>'I-Features'!E22</f>
        <v/>
      </c>
      <c r="G22" s="7">
        <f>'I-Features'!H22</f>
        <v/>
      </c>
      <c r="H22" s="7">
        <f>'I-Features'!I22</f>
        <v/>
      </c>
      <c r="I22" s="7">
        <f>'I-Features'!J22</f>
        <v/>
      </c>
      <c r="J22" s="7">
        <f>'I-Features'!M22</f>
        <v/>
      </c>
      <c r="K22" s="7">
        <f>'I-Features'!L22</f>
        <v/>
      </c>
    </row>
    <row r="23" ht="22" customHeight="1">
      <c r="A23" s="1" t="n"/>
      <c r="C23" s="6" t="n">
        <v>16</v>
      </c>
      <c r="D23" s="7">
        <f>'I-Features'!C23</f>
        <v/>
      </c>
      <c r="E23" s="7">
        <f>'I-Features'!D23</f>
        <v/>
      </c>
      <c r="F23" s="7">
        <f>'I-Features'!E23</f>
        <v/>
      </c>
      <c r="G23" s="7">
        <f>'I-Features'!H23</f>
        <v/>
      </c>
      <c r="H23" s="7">
        <f>'I-Features'!I23</f>
        <v/>
      </c>
      <c r="I23" s="7">
        <f>'I-Features'!J23</f>
        <v/>
      </c>
      <c r="J23" s="7">
        <f>'I-Features'!M23</f>
        <v/>
      </c>
      <c r="K23" s="7">
        <f>'I-Features'!L23</f>
        <v/>
      </c>
    </row>
    <row r="24" ht="22" customHeight="1">
      <c r="A24" s="1" t="n"/>
      <c r="C24" s="6" t="n">
        <v>17</v>
      </c>
      <c r="D24" s="7">
        <f>'I-Features'!C24</f>
        <v/>
      </c>
      <c r="E24" s="7">
        <f>'I-Features'!D24</f>
        <v/>
      </c>
      <c r="F24" s="7">
        <f>'I-Features'!E24</f>
        <v/>
      </c>
      <c r="G24" s="7">
        <f>'I-Features'!H24</f>
        <v/>
      </c>
      <c r="H24" s="7">
        <f>'I-Features'!I24</f>
        <v/>
      </c>
      <c r="I24" s="7">
        <f>'I-Features'!J24</f>
        <v/>
      </c>
      <c r="J24" s="7">
        <f>'I-Features'!M24</f>
        <v/>
      </c>
      <c r="K24" s="7">
        <f>'I-Features'!L24</f>
        <v/>
      </c>
    </row>
    <row r="25" ht="22" customHeight="1">
      <c r="A25" s="1" t="n"/>
      <c r="C25" s="6" t="n">
        <v>18</v>
      </c>
      <c r="D25" s="7">
        <f>'I-Features'!C25</f>
        <v/>
      </c>
      <c r="E25" s="7">
        <f>'I-Features'!D25</f>
        <v/>
      </c>
      <c r="F25" s="7">
        <f>'I-Features'!E25</f>
        <v/>
      </c>
      <c r="G25" s="7">
        <f>'I-Features'!H25</f>
        <v/>
      </c>
      <c r="H25" s="7">
        <f>'I-Features'!I25</f>
        <v/>
      </c>
      <c r="I25" s="7">
        <f>'I-Features'!J25</f>
        <v/>
      </c>
      <c r="J25" s="7">
        <f>'I-Features'!M25</f>
        <v/>
      </c>
      <c r="K25" s="7">
        <f>'I-Features'!L25</f>
        <v/>
      </c>
    </row>
    <row r="26" ht="22" customHeight="1">
      <c r="A26" s="1" t="n"/>
      <c r="C26" s="6" t="n">
        <v>19</v>
      </c>
      <c r="D26" s="7">
        <f>'I-Features'!C26</f>
        <v/>
      </c>
      <c r="E26" s="7">
        <f>'I-Features'!D26</f>
        <v/>
      </c>
      <c r="F26" s="7">
        <f>'I-Features'!E26</f>
        <v/>
      </c>
      <c r="G26" s="7">
        <f>'I-Features'!H26</f>
        <v/>
      </c>
      <c r="H26" s="7">
        <f>'I-Features'!I26</f>
        <v/>
      </c>
      <c r="I26" s="7">
        <f>'I-Features'!J26</f>
        <v/>
      </c>
      <c r="J26" s="7">
        <f>'I-Features'!M26</f>
        <v/>
      </c>
      <c r="K26" s="7">
        <f>'I-Features'!L26</f>
        <v/>
      </c>
    </row>
    <row r="27" ht="22" customHeight="1">
      <c r="A27" s="1" t="n"/>
      <c r="C27" s="6" t="n">
        <v>20</v>
      </c>
      <c r="D27" s="7">
        <f>'I-Features'!C27</f>
        <v/>
      </c>
      <c r="E27" s="7">
        <f>'I-Features'!D27</f>
        <v/>
      </c>
      <c r="F27" s="7">
        <f>'I-Features'!E27</f>
        <v/>
      </c>
      <c r="G27" s="7">
        <f>'I-Features'!H27</f>
        <v/>
      </c>
      <c r="H27" s="7">
        <f>'I-Features'!I27</f>
        <v/>
      </c>
      <c r="I27" s="7">
        <f>'I-Features'!J27</f>
        <v/>
      </c>
      <c r="J27" s="7">
        <f>'I-Features'!M27</f>
        <v/>
      </c>
      <c r="K27" s="7">
        <f>'I-Features'!L27</f>
        <v/>
      </c>
    </row>
    <row r="28" ht="22" customHeight="1">
      <c r="A28" s="1" t="n"/>
      <c r="C28" s="6" t="n">
        <v>21</v>
      </c>
      <c r="D28" s="7">
        <f>'I-Features'!C28</f>
        <v/>
      </c>
      <c r="E28" s="7">
        <f>'I-Features'!D28</f>
        <v/>
      </c>
      <c r="F28" s="7">
        <f>'I-Features'!E28</f>
        <v/>
      </c>
      <c r="G28" s="7">
        <f>'I-Features'!H28</f>
        <v/>
      </c>
      <c r="H28" s="7">
        <f>'I-Features'!I28</f>
        <v/>
      </c>
      <c r="I28" s="7">
        <f>'I-Features'!J28</f>
        <v/>
      </c>
      <c r="J28" s="7">
        <f>'I-Features'!M28</f>
        <v/>
      </c>
      <c r="K28" s="7">
        <f>'I-Features'!L28</f>
        <v/>
      </c>
    </row>
    <row r="29" ht="22" customHeight="1">
      <c r="A29" s="1" t="n"/>
      <c r="C29" s="6" t="n">
        <v>22</v>
      </c>
      <c r="D29" s="7">
        <f>'I-Features'!C29</f>
        <v/>
      </c>
      <c r="E29" s="7">
        <f>'I-Features'!D29</f>
        <v/>
      </c>
      <c r="F29" s="7">
        <f>'I-Features'!E29</f>
        <v/>
      </c>
      <c r="G29" s="7">
        <f>'I-Features'!H29</f>
        <v/>
      </c>
      <c r="H29" s="7">
        <f>'I-Features'!I29</f>
        <v/>
      </c>
      <c r="I29" s="7">
        <f>'I-Features'!J29</f>
        <v/>
      </c>
      <c r="J29" s="7">
        <f>'I-Features'!M29</f>
        <v/>
      </c>
      <c r="K29" s="7">
        <f>'I-Features'!L29</f>
        <v/>
      </c>
    </row>
    <row r="30" ht="22" customHeight="1">
      <c r="A30" s="1" t="n"/>
      <c r="C30" s="6" t="n">
        <v>23</v>
      </c>
      <c r="D30" s="7">
        <f>'I-Features'!C30</f>
        <v/>
      </c>
      <c r="E30" s="7">
        <f>'I-Features'!D30</f>
        <v/>
      </c>
      <c r="F30" s="7">
        <f>'I-Features'!E30</f>
        <v/>
      </c>
      <c r="G30" s="7">
        <f>'I-Features'!H30</f>
        <v/>
      </c>
      <c r="H30" s="7">
        <f>'I-Features'!I30</f>
        <v/>
      </c>
      <c r="I30" s="7">
        <f>'I-Features'!J30</f>
        <v/>
      </c>
      <c r="J30" s="7">
        <f>'I-Features'!M30</f>
        <v/>
      </c>
      <c r="K30" s="7">
        <f>'I-Features'!L30</f>
        <v/>
      </c>
    </row>
    <row r="31" ht="22" customHeight="1">
      <c r="A31" s="1" t="n"/>
      <c r="C31" s="6" t="n">
        <v>24</v>
      </c>
      <c r="D31" s="7">
        <f>'I-Features'!C31</f>
        <v/>
      </c>
      <c r="E31" s="7">
        <f>'I-Features'!D31</f>
        <v/>
      </c>
      <c r="F31" s="7">
        <f>'I-Features'!E31</f>
        <v/>
      </c>
      <c r="G31" s="7">
        <f>'I-Features'!H31</f>
        <v/>
      </c>
      <c r="H31" s="7">
        <f>'I-Features'!I31</f>
        <v/>
      </c>
      <c r="I31" s="7">
        <f>'I-Features'!J31</f>
        <v/>
      </c>
      <c r="J31" s="7">
        <f>'I-Features'!M31</f>
        <v/>
      </c>
      <c r="K31" s="7">
        <f>'I-Features'!L31</f>
        <v/>
      </c>
    </row>
    <row r="32" ht="22" customHeight="1">
      <c r="A32" s="1" t="n"/>
      <c r="C32" s="6" t="n">
        <v>25</v>
      </c>
      <c r="D32" s="7">
        <f>'I-Features'!C32</f>
        <v/>
      </c>
      <c r="E32" s="7">
        <f>'I-Features'!D32</f>
        <v/>
      </c>
      <c r="F32" s="7">
        <f>'I-Features'!E32</f>
        <v/>
      </c>
      <c r="G32" s="7">
        <f>'I-Features'!H32</f>
        <v/>
      </c>
      <c r="H32" s="7">
        <f>'I-Features'!I32</f>
        <v/>
      </c>
      <c r="I32" s="7">
        <f>'I-Features'!J32</f>
        <v/>
      </c>
      <c r="J32" s="7">
        <f>'I-Features'!M32</f>
        <v/>
      </c>
      <c r="K32" s="7">
        <f>'I-Features'!L32</f>
        <v/>
      </c>
    </row>
    <row r="33" ht="22" customHeight="1">
      <c r="A33" s="1" t="n"/>
      <c r="C33" s="6" t="n">
        <v>26</v>
      </c>
      <c r="D33" s="7">
        <f>'I-Features'!C33</f>
        <v/>
      </c>
      <c r="E33" s="7">
        <f>'I-Features'!D33</f>
        <v/>
      </c>
      <c r="F33" s="7">
        <f>'I-Features'!E33</f>
        <v/>
      </c>
      <c r="G33" s="7">
        <f>'I-Features'!H33</f>
        <v/>
      </c>
      <c r="H33" s="7">
        <f>'I-Features'!I33</f>
        <v/>
      </c>
      <c r="I33" s="7">
        <f>'I-Features'!J33</f>
        <v/>
      </c>
      <c r="J33" s="7">
        <f>'I-Features'!M33</f>
        <v/>
      </c>
      <c r="K33" s="7">
        <f>'I-Features'!L33</f>
        <v/>
      </c>
    </row>
    <row r="34" ht="22" customHeight="1">
      <c r="A34" s="1" t="n"/>
      <c r="C34" s="6" t="n">
        <v>27</v>
      </c>
      <c r="D34" s="7">
        <f>'I-Features'!C34</f>
        <v/>
      </c>
      <c r="E34" s="7">
        <f>'I-Features'!D34</f>
        <v/>
      </c>
      <c r="F34" s="7">
        <f>'I-Features'!E34</f>
        <v/>
      </c>
      <c r="G34" s="7">
        <f>'I-Features'!H34</f>
        <v/>
      </c>
      <c r="H34" s="7">
        <f>'I-Features'!I34</f>
        <v/>
      </c>
      <c r="I34" s="7">
        <f>'I-Features'!J34</f>
        <v/>
      </c>
      <c r="J34" s="7">
        <f>'I-Features'!M34</f>
        <v/>
      </c>
      <c r="K34" s="7">
        <f>'I-Features'!L34</f>
        <v/>
      </c>
    </row>
    <row r="35" ht="22" customHeight="1">
      <c r="A35" s="1" t="n"/>
      <c r="C35" s="6" t="n">
        <v>28</v>
      </c>
      <c r="D35" s="7">
        <f>'I-Features'!C35</f>
        <v/>
      </c>
      <c r="E35" s="7">
        <f>'I-Features'!D35</f>
        <v/>
      </c>
      <c r="F35" s="7">
        <f>'I-Features'!E35</f>
        <v/>
      </c>
      <c r="G35" s="7">
        <f>'I-Features'!H35</f>
        <v/>
      </c>
      <c r="H35" s="7">
        <f>'I-Features'!I35</f>
        <v/>
      </c>
      <c r="I35" s="7">
        <f>'I-Features'!J35</f>
        <v/>
      </c>
      <c r="J35" s="7">
        <f>'I-Features'!M35</f>
        <v/>
      </c>
      <c r="K35" s="7">
        <f>'I-Features'!L35</f>
        <v/>
      </c>
    </row>
    <row r="36" ht="22" customHeight="1">
      <c r="A36" s="1" t="n"/>
      <c r="C36" s="6" t="n">
        <v>29</v>
      </c>
      <c r="D36" s="7">
        <f>'I-Features'!C36</f>
        <v/>
      </c>
      <c r="E36" s="7">
        <f>'I-Features'!D36</f>
        <v/>
      </c>
      <c r="F36" s="7">
        <f>'I-Features'!E36</f>
        <v/>
      </c>
      <c r="G36" s="7">
        <f>'I-Features'!H36</f>
        <v/>
      </c>
      <c r="H36" s="7">
        <f>'I-Features'!I36</f>
        <v/>
      </c>
      <c r="I36" s="7">
        <f>'I-Features'!J36</f>
        <v/>
      </c>
      <c r="J36" s="7">
        <f>'I-Features'!M36</f>
        <v/>
      </c>
      <c r="K36" s="7">
        <f>'I-Features'!L36</f>
        <v/>
      </c>
    </row>
    <row r="37" ht="22" customHeight="1">
      <c r="A37" s="1" t="n"/>
      <c r="C37" s="6" t="n">
        <v>30</v>
      </c>
      <c r="D37" s="7">
        <f>'I-Features'!C37</f>
        <v/>
      </c>
      <c r="E37" s="7">
        <f>'I-Features'!D37</f>
        <v/>
      </c>
      <c r="F37" s="7">
        <f>'I-Features'!E37</f>
        <v/>
      </c>
      <c r="G37" s="7">
        <f>'I-Features'!H37</f>
        <v/>
      </c>
      <c r="H37" s="7">
        <f>'I-Features'!I37</f>
        <v/>
      </c>
      <c r="I37" s="7">
        <f>'I-Features'!J37</f>
        <v/>
      </c>
      <c r="J37" s="7">
        <f>'I-Features'!M37</f>
        <v/>
      </c>
      <c r="K37" s="7">
        <f>'I-Features'!L37</f>
        <v/>
      </c>
    </row>
    <row r="38" ht="22" customHeight="1">
      <c r="A38" s="1" t="n"/>
      <c r="C38" s="6" t="n">
        <v>31</v>
      </c>
      <c r="D38" s="7">
        <f>'I-Features'!C38</f>
        <v/>
      </c>
      <c r="E38" s="7">
        <f>'I-Features'!D38</f>
        <v/>
      </c>
      <c r="F38" s="7">
        <f>'I-Features'!E38</f>
        <v/>
      </c>
      <c r="G38" s="7">
        <f>'I-Features'!H38</f>
        <v/>
      </c>
      <c r="H38" s="7">
        <f>'I-Features'!I38</f>
        <v/>
      </c>
      <c r="I38" s="7">
        <f>'I-Features'!J38</f>
        <v/>
      </c>
      <c r="J38" s="7">
        <f>'I-Features'!M38</f>
        <v/>
      </c>
      <c r="K38" s="7">
        <f>'I-Features'!L38</f>
        <v/>
      </c>
    </row>
    <row r="39" ht="22" customHeight="1">
      <c r="A39" s="1" t="n"/>
      <c r="C39" s="6" t="n">
        <v>32</v>
      </c>
      <c r="D39" s="7">
        <f>'I-Features'!C39</f>
        <v/>
      </c>
      <c r="E39" s="7">
        <f>'I-Features'!D39</f>
        <v/>
      </c>
      <c r="F39" s="7">
        <f>'I-Features'!E39</f>
        <v/>
      </c>
      <c r="G39" s="7">
        <f>'I-Features'!H39</f>
        <v/>
      </c>
      <c r="H39" s="7">
        <f>'I-Features'!I39</f>
        <v/>
      </c>
      <c r="I39" s="7">
        <f>'I-Features'!J39</f>
        <v/>
      </c>
      <c r="J39" s="7">
        <f>'I-Features'!M39</f>
        <v/>
      </c>
      <c r="K39" s="7">
        <f>'I-Features'!L39</f>
        <v/>
      </c>
    </row>
    <row r="40" ht="22" customHeight="1">
      <c r="A40" s="1" t="n"/>
      <c r="C40" s="6" t="n">
        <v>33</v>
      </c>
      <c r="D40" s="7">
        <f>'I-Features'!C40</f>
        <v/>
      </c>
      <c r="E40" s="7">
        <f>'I-Features'!D40</f>
        <v/>
      </c>
      <c r="F40" s="7">
        <f>'I-Features'!E40</f>
        <v/>
      </c>
      <c r="G40" s="7">
        <f>'I-Features'!H40</f>
        <v/>
      </c>
      <c r="H40" s="7">
        <f>'I-Features'!I40</f>
        <v/>
      </c>
      <c r="I40" s="7">
        <f>'I-Features'!J40</f>
        <v/>
      </c>
      <c r="J40" s="7">
        <f>'I-Features'!M40</f>
        <v/>
      </c>
      <c r="K40" s="7">
        <f>'I-Features'!L40</f>
        <v/>
      </c>
    </row>
    <row r="41" ht="22" customHeight="1">
      <c r="A41" s="1" t="n"/>
      <c r="C41" s="6" t="n">
        <v>34</v>
      </c>
      <c r="D41" s="7">
        <f>'I-Features'!C41</f>
        <v/>
      </c>
      <c r="E41" s="7">
        <f>'I-Features'!D41</f>
        <v/>
      </c>
      <c r="F41" s="7">
        <f>'I-Features'!E41</f>
        <v/>
      </c>
      <c r="G41" s="7">
        <f>'I-Features'!H41</f>
        <v/>
      </c>
      <c r="H41" s="7">
        <f>'I-Features'!I41</f>
        <v/>
      </c>
      <c r="I41" s="7">
        <f>'I-Features'!J41</f>
        <v/>
      </c>
      <c r="J41" s="7">
        <f>'I-Features'!M41</f>
        <v/>
      </c>
      <c r="K41" s="7">
        <f>'I-Features'!L41</f>
        <v/>
      </c>
    </row>
    <row r="42" ht="22" customHeight="1">
      <c r="A42" s="1" t="n"/>
      <c r="C42" s="6" t="n">
        <v>35</v>
      </c>
      <c r="D42" s="7">
        <f>'I-Features'!C42</f>
        <v/>
      </c>
      <c r="E42" s="7">
        <f>'I-Features'!D42</f>
        <v/>
      </c>
      <c r="F42" s="7">
        <f>'I-Features'!E42</f>
        <v/>
      </c>
      <c r="G42" s="7">
        <f>'I-Features'!H42</f>
        <v/>
      </c>
      <c r="H42" s="7">
        <f>'I-Features'!I42</f>
        <v/>
      </c>
      <c r="I42" s="7">
        <f>'I-Features'!J42</f>
        <v/>
      </c>
      <c r="J42" s="7">
        <f>'I-Features'!M42</f>
        <v/>
      </c>
      <c r="K42" s="7">
        <f>'I-Features'!L42</f>
        <v/>
      </c>
    </row>
    <row r="43" ht="22" customHeight="1">
      <c r="A43" s="1" t="n"/>
      <c r="C43" s="6" t="n">
        <v>36</v>
      </c>
      <c r="D43" s="7">
        <f>'I-Features'!C43</f>
        <v/>
      </c>
      <c r="E43" s="7">
        <f>'I-Features'!D43</f>
        <v/>
      </c>
      <c r="F43" s="7">
        <f>'I-Features'!E43</f>
        <v/>
      </c>
      <c r="G43" s="7">
        <f>'I-Features'!H43</f>
        <v/>
      </c>
      <c r="H43" s="7">
        <f>'I-Features'!I43</f>
        <v/>
      </c>
      <c r="I43" s="7">
        <f>'I-Features'!J43</f>
        <v/>
      </c>
      <c r="J43" s="7">
        <f>'I-Features'!M43</f>
        <v/>
      </c>
      <c r="K43" s="7">
        <f>'I-Features'!L43</f>
        <v/>
      </c>
    </row>
    <row r="44" ht="22" customHeight="1">
      <c r="A44" s="1" t="n"/>
      <c r="C44" s="6" t="n">
        <v>37</v>
      </c>
      <c r="D44" s="7">
        <f>'I-Features'!C44</f>
        <v/>
      </c>
      <c r="E44" s="7">
        <f>'I-Features'!D44</f>
        <v/>
      </c>
      <c r="F44" s="7">
        <f>'I-Features'!E44</f>
        <v/>
      </c>
      <c r="G44" s="7">
        <f>'I-Features'!H44</f>
        <v/>
      </c>
      <c r="H44" s="7">
        <f>'I-Features'!I44</f>
        <v/>
      </c>
      <c r="I44" s="7">
        <f>'I-Features'!J44</f>
        <v/>
      </c>
      <c r="J44" s="7">
        <f>'I-Features'!M44</f>
        <v/>
      </c>
      <c r="K44" s="7">
        <f>'I-Features'!L44</f>
        <v/>
      </c>
    </row>
    <row r="45" ht="22" customHeight="1">
      <c r="A45" s="1" t="n"/>
      <c r="C45" s="6" t="n">
        <v>38</v>
      </c>
      <c r="D45" s="7">
        <f>'I-Features'!C45</f>
        <v/>
      </c>
      <c r="E45" s="7">
        <f>'I-Features'!D45</f>
        <v/>
      </c>
      <c r="F45" s="7">
        <f>'I-Features'!E45</f>
        <v/>
      </c>
      <c r="G45" s="7">
        <f>'I-Features'!H45</f>
        <v/>
      </c>
      <c r="H45" s="7">
        <f>'I-Features'!I45</f>
        <v/>
      </c>
      <c r="I45" s="7">
        <f>'I-Features'!J45</f>
        <v/>
      </c>
      <c r="J45" s="7">
        <f>'I-Features'!M45</f>
        <v/>
      </c>
      <c r="K45" s="7">
        <f>'I-Features'!L45</f>
        <v/>
      </c>
    </row>
    <row r="46" ht="22" customHeight="1">
      <c r="A46" s="1" t="n"/>
      <c r="C46" s="6" t="n">
        <v>39</v>
      </c>
      <c r="D46" s="7">
        <f>'I-Features'!C46</f>
        <v/>
      </c>
      <c r="E46" s="7">
        <f>'I-Features'!D46</f>
        <v/>
      </c>
      <c r="F46" s="7">
        <f>'I-Features'!E46</f>
        <v/>
      </c>
      <c r="G46" s="7">
        <f>'I-Features'!H46</f>
        <v/>
      </c>
      <c r="H46" s="7">
        <f>'I-Features'!I46</f>
        <v/>
      </c>
      <c r="I46" s="7">
        <f>'I-Features'!J46</f>
        <v/>
      </c>
      <c r="J46" s="7">
        <f>'I-Features'!M46</f>
        <v/>
      </c>
      <c r="K46" s="7">
        <f>'I-Features'!L46</f>
        <v/>
      </c>
    </row>
    <row r="47" ht="22" customHeight="1">
      <c r="A47" s="1" t="n"/>
      <c r="C47" s="6" t="n">
        <v>40</v>
      </c>
      <c r="D47" s="7">
        <f>'I-Features'!C47</f>
        <v/>
      </c>
      <c r="E47" s="7">
        <f>'I-Features'!D47</f>
        <v/>
      </c>
      <c r="F47" s="7">
        <f>'I-Features'!E47</f>
        <v/>
      </c>
      <c r="G47" s="7">
        <f>'I-Features'!H47</f>
        <v/>
      </c>
      <c r="H47" s="7">
        <f>'I-Features'!I47</f>
        <v/>
      </c>
      <c r="I47" s="7">
        <f>'I-Features'!J47</f>
        <v/>
      </c>
      <c r="J47" s="7">
        <f>'I-Features'!M47</f>
        <v/>
      </c>
      <c r="K47" s="7">
        <f>'I-Features'!L47</f>
        <v/>
      </c>
    </row>
    <row r="48" ht="22" customHeight="1">
      <c r="A48" s="1" t="n"/>
      <c r="C48" s="6" t="n">
        <v>41</v>
      </c>
      <c r="D48" s="7">
        <f>'I-Features'!C48</f>
        <v/>
      </c>
      <c r="E48" s="7">
        <f>'I-Features'!D48</f>
        <v/>
      </c>
      <c r="F48" s="7">
        <f>'I-Features'!E48</f>
        <v/>
      </c>
      <c r="G48" s="7">
        <f>'I-Features'!H48</f>
        <v/>
      </c>
      <c r="H48" s="7">
        <f>'I-Features'!I48</f>
        <v/>
      </c>
      <c r="I48" s="7">
        <f>'I-Features'!J48</f>
        <v/>
      </c>
      <c r="J48" s="7">
        <f>'I-Features'!M48</f>
        <v/>
      </c>
      <c r="K48" s="7">
        <f>'I-Features'!L48</f>
        <v/>
      </c>
    </row>
    <row r="49" ht="22" customHeight="1">
      <c r="A49" s="1" t="n"/>
      <c r="C49" s="6" t="n">
        <v>42</v>
      </c>
      <c r="D49" s="7">
        <f>'I-Features'!C49</f>
        <v/>
      </c>
      <c r="E49" s="7">
        <f>'I-Features'!D49</f>
        <v/>
      </c>
      <c r="F49" s="7">
        <f>'I-Features'!E49</f>
        <v/>
      </c>
      <c r="G49" s="7">
        <f>'I-Features'!H49</f>
        <v/>
      </c>
      <c r="H49" s="7">
        <f>'I-Features'!I49</f>
        <v/>
      </c>
      <c r="I49" s="7">
        <f>'I-Features'!J49</f>
        <v/>
      </c>
      <c r="J49" s="7">
        <f>'I-Features'!M49</f>
        <v/>
      </c>
      <c r="K49" s="7">
        <f>'I-Features'!L49</f>
        <v/>
      </c>
    </row>
    <row r="50" ht="22" customHeight="1">
      <c r="A50" s="1" t="n"/>
      <c r="C50" s="6" t="n">
        <v>43</v>
      </c>
      <c r="D50" s="7">
        <f>'I-Features'!C50</f>
        <v/>
      </c>
      <c r="E50" s="7">
        <f>'I-Features'!D50</f>
        <v/>
      </c>
      <c r="F50" s="7">
        <f>'I-Features'!E50</f>
        <v/>
      </c>
      <c r="G50" s="7">
        <f>'I-Features'!H50</f>
        <v/>
      </c>
      <c r="H50" s="7">
        <f>'I-Features'!I50</f>
        <v/>
      </c>
      <c r="I50" s="7">
        <f>'I-Features'!J50</f>
        <v/>
      </c>
      <c r="J50" s="7">
        <f>'I-Features'!M50</f>
        <v/>
      </c>
      <c r="K50" s="7">
        <f>'I-Features'!L50</f>
        <v/>
      </c>
    </row>
    <row r="51" ht="22" customHeight="1">
      <c r="A51" s="1" t="n"/>
      <c r="C51" s="6" t="n">
        <v>44</v>
      </c>
      <c r="D51" s="7">
        <f>'I-Features'!C51</f>
        <v/>
      </c>
      <c r="E51" s="7">
        <f>'I-Features'!D51</f>
        <v/>
      </c>
      <c r="F51" s="7">
        <f>'I-Features'!E51</f>
        <v/>
      </c>
      <c r="G51" s="7">
        <f>'I-Features'!H51</f>
        <v/>
      </c>
      <c r="H51" s="7">
        <f>'I-Features'!I51</f>
        <v/>
      </c>
      <c r="I51" s="7">
        <f>'I-Features'!J51</f>
        <v/>
      </c>
      <c r="J51" s="7">
        <f>'I-Features'!M51</f>
        <v/>
      </c>
      <c r="K51" s="7">
        <f>'I-Features'!L51</f>
        <v/>
      </c>
    </row>
    <row r="52" ht="22" customHeight="1">
      <c r="A52" s="1" t="n"/>
      <c r="C52" s="6" t="n">
        <v>45</v>
      </c>
      <c r="D52" s="7">
        <f>'I-Features'!C52</f>
        <v/>
      </c>
      <c r="E52" s="7">
        <f>'I-Features'!D52</f>
        <v/>
      </c>
      <c r="F52" s="7">
        <f>'I-Features'!E52</f>
        <v/>
      </c>
      <c r="G52" s="7">
        <f>'I-Features'!H52</f>
        <v/>
      </c>
      <c r="H52" s="7">
        <f>'I-Features'!I52</f>
        <v/>
      </c>
      <c r="I52" s="7">
        <f>'I-Features'!J52</f>
        <v/>
      </c>
      <c r="J52" s="7">
        <f>'I-Features'!M52</f>
        <v/>
      </c>
      <c r="K52" s="7">
        <f>'I-Features'!L52</f>
        <v/>
      </c>
    </row>
    <row r="53" ht="22" customHeight="1">
      <c r="A53" s="1" t="n"/>
      <c r="C53" s="6" t="n">
        <v>46</v>
      </c>
      <c r="D53" s="7">
        <f>'I-Features'!C53</f>
        <v/>
      </c>
      <c r="E53" s="7">
        <f>'I-Features'!D53</f>
        <v/>
      </c>
      <c r="F53" s="7">
        <f>'I-Features'!E53</f>
        <v/>
      </c>
      <c r="G53" s="7">
        <f>'I-Features'!H53</f>
        <v/>
      </c>
      <c r="H53" s="7">
        <f>'I-Features'!I53</f>
        <v/>
      </c>
      <c r="I53" s="7">
        <f>'I-Features'!J53</f>
        <v/>
      </c>
      <c r="J53" s="7">
        <f>'I-Features'!M53</f>
        <v/>
      </c>
      <c r="K53" s="7">
        <f>'I-Features'!L53</f>
        <v/>
      </c>
    </row>
    <row r="54" ht="22" customHeight="1">
      <c r="A54" s="1" t="n"/>
      <c r="C54" s="6" t="n">
        <v>47</v>
      </c>
      <c r="D54" s="7">
        <f>'I-Features'!C54</f>
        <v/>
      </c>
      <c r="E54" s="7">
        <f>'I-Features'!D54</f>
        <v/>
      </c>
      <c r="F54" s="7">
        <f>'I-Features'!E54</f>
        <v/>
      </c>
      <c r="G54" s="7">
        <f>'I-Features'!H54</f>
        <v/>
      </c>
      <c r="H54" s="7">
        <f>'I-Features'!I54</f>
        <v/>
      </c>
      <c r="I54" s="7">
        <f>'I-Features'!J54</f>
        <v/>
      </c>
      <c r="J54" s="7">
        <f>'I-Features'!M54</f>
        <v/>
      </c>
      <c r="K54" s="7">
        <f>'I-Features'!L54</f>
        <v/>
      </c>
    </row>
    <row r="55" ht="22" customHeight="1">
      <c r="A55" s="1" t="n"/>
      <c r="C55" s="6" t="n">
        <v>48</v>
      </c>
      <c r="D55" s="7">
        <f>'I-Features'!C55</f>
        <v/>
      </c>
      <c r="E55" s="7">
        <f>'I-Features'!D55</f>
        <v/>
      </c>
      <c r="F55" s="7">
        <f>'I-Features'!E55</f>
        <v/>
      </c>
      <c r="G55" s="7">
        <f>'I-Features'!H55</f>
        <v/>
      </c>
      <c r="H55" s="7">
        <f>'I-Features'!I55</f>
        <v/>
      </c>
      <c r="I55" s="7">
        <f>'I-Features'!J55</f>
        <v/>
      </c>
      <c r="J55" s="7">
        <f>'I-Features'!M55</f>
        <v/>
      </c>
      <c r="K55" s="7">
        <f>'I-Features'!L55</f>
        <v/>
      </c>
    </row>
    <row r="56" ht="22" customHeight="1">
      <c r="A56" s="1" t="n"/>
      <c r="C56" s="6" t="n">
        <v>49</v>
      </c>
      <c r="D56" s="7">
        <f>'I-Features'!C56</f>
        <v/>
      </c>
      <c r="E56" s="7">
        <f>'I-Features'!D56</f>
        <v/>
      </c>
      <c r="F56" s="7">
        <f>'I-Features'!E56</f>
        <v/>
      </c>
      <c r="G56" s="7">
        <f>'I-Features'!H56</f>
        <v/>
      </c>
      <c r="H56" s="7">
        <f>'I-Features'!I56</f>
        <v/>
      </c>
      <c r="I56" s="7">
        <f>'I-Features'!J56</f>
        <v/>
      </c>
      <c r="J56" s="7">
        <f>'I-Features'!M56</f>
        <v/>
      </c>
      <c r="K56" s="7">
        <f>'I-Features'!L56</f>
        <v/>
      </c>
    </row>
    <row r="57" ht="22" customHeight="1">
      <c r="A57" s="1" t="n"/>
      <c r="C57" s="6" t="n">
        <v>50</v>
      </c>
      <c r="D57" s="7">
        <f>'I-Features'!C57</f>
        <v/>
      </c>
      <c r="E57" s="7">
        <f>'I-Features'!D57</f>
        <v/>
      </c>
      <c r="F57" s="7">
        <f>'I-Features'!E57</f>
        <v/>
      </c>
      <c r="G57" s="7">
        <f>'I-Features'!H57</f>
        <v/>
      </c>
      <c r="H57" s="7">
        <f>'I-Features'!I57</f>
        <v/>
      </c>
      <c r="I57" s="7">
        <f>'I-Features'!J57</f>
        <v/>
      </c>
      <c r="J57" s="7">
        <f>'I-Features'!M57</f>
        <v/>
      </c>
      <c r="K57" s="7">
        <f>'I-Features'!L57</f>
        <v/>
      </c>
    </row>
    <row r="58" ht="22" customHeight="1">
      <c r="A58" s="1" t="n"/>
      <c r="C58" s="6" t="n">
        <v>51</v>
      </c>
      <c r="D58" s="7">
        <f>'I-Features'!C58</f>
        <v/>
      </c>
      <c r="E58" s="7">
        <f>'I-Features'!D58</f>
        <v/>
      </c>
      <c r="F58" s="7">
        <f>'I-Features'!E58</f>
        <v/>
      </c>
      <c r="G58" s="7">
        <f>'I-Features'!H58</f>
        <v/>
      </c>
      <c r="H58" s="7">
        <f>'I-Features'!I58</f>
        <v/>
      </c>
      <c r="I58" s="7">
        <f>'I-Features'!J58</f>
        <v/>
      </c>
      <c r="J58" s="7">
        <f>'I-Features'!M58</f>
        <v/>
      </c>
      <c r="K58" s="7">
        <f>'I-Features'!L58</f>
        <v/>
      </c>
    </row>
    <row r="59" ht="22" customHeight="1">
      <c r="A59" s="1" t="n"/>
      <c r="C59" s="6" t="n">
        <v>52</v>
      </c>
      <c r="D59" s="7">
        <f>'I-Features'!C59</f>
        <v/>
      </c>
      <c r="E59" s="7">
        <f>'I-Features'!D59</f>
        <v/>
      </c>
      <c r="F59" s="7">
        <f>'I-Features'!E59</f>
        <v/>
      </c>
      <c r="G59" s="7">
        <f>'I-Features'!H59</f>
        <v/>
      </c>
      <c r="H59" s="7">
        <f>'I-Features'!I59</f>
        <v/>
      </c>
      <c r="I59" s="7">
        <f>'I-Features'!J59</f>
        <v/>
      </c>
      <c r="J59" s="7">
        <f>'I-Features'!M59</f>
        <v/>
      </c>
      <c r="K59" s="7">
        <f>'I-Features'!L59</f>
        <v/>
      </c>
    </row>
    <row r="60" ht="22" customHeight="1">
      <c r="A60" s="1" t="n"/>
      <c r="C60" s="6" t="n">
        <v>53</v>
      </c>
      <c r="D60" s="7">
        <f>'I-Features'!C60</f>
        <v/>
      </c>
      <c r="E60" s="7">
        <f>'I-Features'!D60</f>
        <v/>
      </c>
      <c r="F60" s="7">
        <f>'I-Features'!E60</f>
        <v/>
      </c>
      <c r="G60" s="7">
        <f>'I-Features'!H60</f>
        <v/>
      </c>
      <c r="H60" s="7">
        <f>'I-Features'!I60</f>
        <v/>
      </c>
      <c r="I60" s="7">
        <f>'I-Features'!J60</f>
        <v/>
      </c>
      <c r="J60" s="7">
        <f>'I-Features'!M60</f>
        <v/>
      </c>
      <c r="K60" s="7">
        <f>'I-Features'!L60</f>
        <v/>
      </c>
    </row>
    <row r="61" ht="22" customHeight="1">
      <c r="A61" s="1" t="n"/>
      <c r="C61" s="6" t="n">
        <v>54</v>
      </c>
      <c r="D61" s="7">
        <f>'I-Features'!C61</f>
        <v/>
      </c>
      <c r="E61" s="7">
        <f>'I-Features'!D61</f>
        <v/>
      </c>
      <c r="F61" s="7">
        <f>'I-Features'!E61</f>
        <v/>
      </c>
      <c r="G61" s="7">
        <f>'I-Features'!H61</f>
        <v/>
      </c>
      <c r="H61" s="7">
        <f>'I-Features'!I61</f>
        <v/>
      </c>
      <c r="I61" s="7">
        <f>'I-Features'!J61</f>
        <v/>
      </c>
      <c r="J61" s="7">
        <f>'I-Features'!M61</f>
        <v/>
      </c>
      <c r="K61" s="7">
        <f>'I-Features'!L61</f>
        <v/>
      </c>
    </row>
    <row r="62" ht="22" customHeight="1">
      <c r="A62" s="1" t="n"/>
      <c r="C62" s="6" t="n">
        <v>55</v>
      </c>
      <c r="D62" s="7">
        <f>'I-Features'!C62</f>
        <v/>
      </c>
      <c r="E62" s="7">
        <f>'I-Features'!D62</f>
        <v/>
      </c>
      <c r="F62" s="7">
        <f>'I-Features'!E62</f>
        <v/>
      </c>
      <c r="G62" s="7">
        <f>'I-Features'!H62</f>
        <v/>
      </c>
      <c r="H62" s="7">
        <f>'I-Features'!I62</f>
        <v/>
      </c>
      <c r="I62" s="7">
        <f>'I-Features'!J62</f>
        <v/>
      </c>
      <c r="J62" s="7">
        <f>'I-Features'!M62</f>
        <v/>
      </c>
      <c r="K62" s="7">
        <f>'I-Features'!L62</f>
        <v/>
      </c>
    </row>
    <row r="63" ht="22" customHeight="1">
      <c r="A63" s="1" t="n"/>
      <c r="C63" s="6" t="n">
        <v>56</v>
      </c>
      <c r="D63" s="7">
        <f>'I-Features'!C63</f>
        <v/>
      </c>
      <c r="E63" s="7">
        <f>'I-Features'!D63</f>
        <v/>
      </c>
      <c r="F63" s="7">
        <f>'I-Features'!E63</f>
        <v/>
      </c>
      <c r="G63" s="7">
        <f>'I-Features'!H63</f>
        <v/>
      </c>
      <c r="H63" s="7">
        <f>'I-Features'!I63</f>
        <v/>
      </c>
      <c r="I63" s="7">
        <f>'I-Features'!J63</f>
        <v/>
      </c>
      <c r="J63" s="7">
        <f>'I-Features'!M63</f>
        <v/>
      </c>
      <c r="K63" s="7">
        <f>'I-Features'!L63</f>
        <v/>
      </c>
    </row>
    <row r="64" ht="22" customHeight="1">
      <c r="A64" s="1" t="n"/>
      <c r="C64" s="6" t="n">
        <v>57</v>
      </c>
      <c r="D64" s="7">
        <f>'I-Features'!C64</f>
        <v/>
      </c>
      <c r="E64" s="7">
        <f>'I-Features'!D64</f>
        <v/>
      </c>
      <c r="F64" s="7">
        <f>'I-Features'!E64</f>
        <v/>
      </c>
      <c r="G64" s="7">
        <f>'I-Features'!H64</f>
        <v/>
      </c>
      <c r="H64" s="7">
        <f>'I-Features'!I64</f>
        <v/>
      </c>
      <c r="I64" s="7">
        <f>'I-Features'!J64</f>
        <v/>
      </c>
      <c r="J64" s="7">
        <f>'I-Features'!M64</f>
        <v/>
      </c>
      <c r="K64" s="7">
        <f>'I-Features'!L64</f>
        <v/>
      </c>
    </row>
    <row r="65" ht="22" customHeight="1">
      <c r="A65" s="1" t="n"/>
      <c r="C65" s="6" t="n">
        <v>58</v>
      </c>
      <c r="D65" s="7">
        <f>'I-Features'!C65</f>
        <v/>
      </c>
      <c r="E65" s="7">
        <f>'I-Features'!D65</f>
        <v/>
      </c>
      <c r="F65" s="7">
        <f>'I-Features'!E65</f>
        <v/>
      </c>
      <c r="G65" s="7">
        <f>'I-Features'!H65</f>
        <v/>
      </c>
      <c r="H65" s="7">
        <f>'I-Features'!I65</f>
        <v/>
      </c>
      <c r="I65" s="7">
        <f>'I-Features'!J65</f>
        <v/>
      </c>
      <c r="J65" s="7">
        <f>'I-Features'!M65</f>
        <v/>
      </c>
      <c r="K65" s="7">
        <f>'I-Features'!L65</f>
        <v/>
      </c>
    </row>
    <row r="66" ht="22" customHeight="1">
      <c r="A66" s="1" t="n"/>
      <c r="C66" s="6" t="n">
        <v>59</v>
      </c>
      <c r="D66" s="7">
        <f>'I-Features'!C66</f>
        <v/>
      </c>
      <c r="E66" s="7">
        <f>'I-Features'!D66</f>
        <v/>
      </c>
      <c r="F66" s="7">
        <f>'I-Features'!E66</f>
        <v/>
      </c>
      <c r="G66" s="7">
        <f>'I-Features'!H66</f>
        <v/>
      </c>
      <c r="H66" s="7">
        <f>'I-Features'!I66</f>
        <v/>
      </c>
      <c r="I66" s="7">
        <f>'I-Features'!J66</f>
        <v/>
      </c>
      <c r="J66" s="7">
        <f>'I-Features'!M66</f>
        <v/>
      </c>
      <c r="K66" s="7">
        <f>'I-Features'!L66</f>
        <v/>
      </c>
    </row>
    <row r="67" ht="22" customHeight="1">
      <c r="A67" s="1" t="n"/>
      <c r="C67" s="6" t="n">
        <v>60</v>
      </c>
      <c r="D67" s="7">
        <f>'I-Features'!C67</f>
        <v/>
      </c>
      <c r="E67" s="7">
        <f>'I-Features'!D67</f>
        <v/>
      </c>
      <c r="F67" s="7">
        <f>'I-Features'!E67</f>
        <v/>
      </c>
      <c r="G67" s="7">
        <f>'I-Features'!H67</f>
        <v/>
      </c>
      <c r="H67" s="7">
        <f>'I-Features'!I67</f>
        <v/>
      </c>
      <c r="I67" s="7">
        <f>'I-Features'!J67</f>
        <v/>
      </c>
      <c r="J67" s="7">
        <f>'I-Features'!M67</f>
        <v/>
      </c>
      <c r="K67" s="7">
        <f>'I-Features'!L67</f>
        <v/>
      </c>
    </row>
    <row r="68" ht="22" customHeight="1">
      <c r="A68" s="1" t="n"/>
      <c r="C68" s="6" t="n">
        <v>61</v>
      </c>
      <c r="D68" s="7">
        <f>'I-Features'!C68</f>
        <v/>
      </c>
      <c r="E68" s="7">
        <f>'I-Features'!D68</f>
        <v/>
      </c>
      <c r="F68" s="7">
        <f>'I-Features'!E68</f>
        <v/>
      </c>
      <c r="G68" s="7">
        <f>'I-Features'!H68</f>
        <v/>
      </c>
      <c r="H68" s="7">
        <f>'I-Features'!I68</f>
        <v/>
      </c>
      <c r="I68" s="7">
        <f>'I-Features'!J68</f>
        <v/>
      </c>
      <c r="J68" s="7">
        <f>'I-Features'!M68</f>
        <v/>
      </c>
      <c r="K68" s="7">
        <f>'I-Features'!L68</f>
        <v/>
      </c>
    </row>
    <row r="69" ht="22" customHeight="1">
      <c r="A69" s="1" t="n"/>
      <c r="C69" s="6" t="n">
        <v>62</v>
      </c>
      <c r="D69" s="7">
        <f>'I-Features'!C69</f>
        <v/>
      </c>
      <c r="E69" s="7">
        <f>'I-Features'!D69</f>
        <v/>
      </c>
      <c r="F69" s="7">
        <f>'I-Features'!E69</f>
        <v/>
      </c>
      <c r="G69" s="7">
        <f>'I-Features'!H69</f>
        <v/>
      </c>
      <c r="H69" s="7">
        <f>'I-Features'!I69</f>
        <v/>
      </c>
      <c r="I69" s="7">
        <f>'I-Features'!J69</f>
        <v/>
      </c>
      <c r="J69" s="7">
        <f>'I-Features'!M69</f>
        <v/>
      </c>
      <c r="K69" s="7">
        <f>'I-Features'!L69</f>
        <v/>
      </c>
    </row>
    <row r="70" ht="22" customHeight="1">
      <c r="A70" s="1" t="n"/>
      <c r="C70" s="6" t="n">
        <v>63</v>
      </c>
      <c r="D70" s="7">
        <f>'I-Features'!C70</f>
        <v/>
      </c>
      <c r="E70" s="7">
        <f>'I-Features'!D70</f>
        <v/>
      </c>
      <c r="F70" s="7">
        <f>'I-Features'!E70</f>
        <v/>
      </c>
      <c r="G70" s="7">
        <f>'I-Features'!H70</f>
        <v/>
      </c>
      <c r="H70" s="7">
        <f>'I-Features'!I70</f>
        <v/>
      </c>
      <c r="I70" s="7">
        <f>'I-Features'!J70</f>
        <v/>
      </c>
      <c r="J70" s="7">
        <f>'I-Features'!M70</f>
        <v/>
      </c>
      <c r="K70" s="7">
        <f>'I-Features'!L70</f>
        <v/>
      </c>
    </row>
    <row r="71" ht="22" customHeight="1">
      <c r="A71" s="1" t="n"/>
      <c r="C71" s="6" t="n">
        <v>64</v>
      </c>
      <c r="D71" s="7">
        <f>'I-Features'!C71</f>
        <v/>
      </c>
      <c r="E71" s="7">
        <f>'I-Features'!D71</f>
        <v/>
      </c>
      <c r="F71" s="7">
        <f>'I-Features'!E71</f>
        <v/>
      </c>
      <c r="G71" s="7">
        <f>'I-Features'!H71</f>
        <v/>
      </c>
      <c r="H71" s="7">
        <f>'I-Features'!I71</f>
        <v/>
      </c>
      <c r="I71" s="7">
        <f>'I-Features'!J71</f>
        <v/>
      </c>
      <c r="J71" s="7">
        <f>'I-Features'!M71</f>
        <v/>
      </c>
      <c r="K71" s="7">
        <f>'I-Features'!L71</f>
        <v/>
      </c>
    </row>
    <row r="72" ht="22" customHeight="1">
      <c r="A72" s="1" t="n"/>
      <c r="C72" s="6" t="n">
        <v>65</v>
      </c>
      <c r="D72" s="7">
        <f>'I-Features'!C72</f>
        <v/>
      </c>
      <c r="E72" s="7">
        <f>'I-Features'!D72</f>
        <v/>
      </c>
      <c r="F72" s="7">
        <f>'I-Features'!E72</f>
        <v/>
      </c>
      <c r="G72" s="7">
        <f>'I-Features'!H72</f>
        <v/>
      </c>
      <c r="H72" s="7">
        <f>'I-Features'!I72</f>
        <v/>
      </c>
      <c r="I72" s="7">
        <f>'I-Features'!J72</f>
        <v/>
      </c>
      <c r="J72" s="7">
        <f>'I-Features'!M72</f>
        <v/>
      </c>
      <c r="K72" s="7">
        <f>'I-Features'!L72</f>
        <v/>
      </c>
    </row>
    <row r="73" ht="22" customHeight="1">
      <c r="A73" s="1" t="n"/>
      <c r="C73" s="6" t="n">
        <v>66</v>
      </c>
      <c r="D73" s="7">
        <f>'I-Features'!C73</f>
        <v/>
      </c>
      <c r="E73" s="7">
        <f>'I-Features'!D73</f>
        <v/>
      </c>
      <c r="F73" s="7">
        <f>'I-Features'!E73</f>
        <v/>
      </c>
      <c r="G73" s="7">
        <f>'I-Features'!H73</f>
        <v/>
      </c>
      <c r="H73" s="7">
        <f>'I-Features'!I73</f>
        <v/>
      </c>
      <c r="I73" s="7">
        <f>'I-Features'!J73</f>
        <v/>
      </c>
      <c r="J73" s="7">
        <f>'I-Features'!M73</f>
        <v/>
      </c>
      <c r="K73" s="7">
        <f>'I-Features'!L73</f>
        <v/>
      </c>
    </row>
    <row r="74" ht="22" customHeight="1">
      <c r="A74" s="1" t="n"/>
      <c r="C74" s="6" t="n">
        <v>67</v>
      </c>
      <c r="D74" s="7">
        <f>'I-Features'!C74</f>
        <v/>
      </c>
      <c r="E74" s="7">
        <f>'I-Features'!D74</f>
        <v/>
      </c>
      <c r="F74" s="7">
        <f>'I-Features'!E74</f>
        <v/>
      </c>
      <c r="G74" s="7">
        <f>'I-Features'!H74</f>
        <v/>
      </c>
      <c r="H74" s="7">
        <f>'I-Features'!I74</f>
        <v/>
      </c>
      <c r="I74" s="7">
        <f>'I-Features'!J74</f>
        <v/>
      </c>
      <c r="J74" s="7">
        <f>'I-Features'!M74</f>
        <v/>
      </c>
      <c r="K74" s="7">
        <f>'I-Features'!L74</f>
        <v/>
      </c>
    </row>
    <row r="75" ht="22" customHeight="1">
      <c r="A75" s="1" t="n"/>
      <c r="C75" s="6" t="n">
        <v>68</v>
      </c>
      <c r="D75" s="7">
        <f>'I-Features'!C75</f>
        <v/>
      </c>
      <c r="E75" s="7">
        <f>'I-Features'!D75</f>
        <v/>
      </c>
      <c r="F75" s="7">
        <f>'I-Features'!E75</f>
        <v/>
      </c>
      <c r="G75" s="7">
        <f>'I-Features'!H75</f>
        <v/>
      </c>
      <c r="H75" s="7">
        <f>'I-Features'!I75</f>
        <v/>
      </c>
      <c r="I75" s="7">
        <f>'I-Features'!J75</f>
        <v/>
      </c>
      <c r="J75" s="7">
        <f>'I-Features'!M75</f>
        <v/>
      </c>
      <c r="K75" s="7">
        <f>'I-Features'!L75</f>
        <v/>
      </c>
    </row>
    <row r="76" ht="22" customHeight="1">
      <c r="A76" s="1" t="n"/>
      <c r="C76" s="6" t="n">
        <v>69</v>
      </c>
      <c r="D76" s="7">
        <f>'I-Features'!C76</f>
        <v/>
      </c>
      <c r="E76" s="7">
        <f>'I-Features'!D76</f>
        <v/>
      </c>
      <c r="F76" s="7">
        <f>'I-Features'!E76</f>
        <v/>
      </c>
      <c r="G76" s="7">
        <f>'I-Features'!H76</f>
        <v/>
      </c>
      <c r="H76" s="7">
        <f>'I-Features'!I76</f>
        <v/>
      </c>
      <c r="I76" s="7">
        <f>'I-Features'!J76</f>
        <v/>
      </c>
      <c r="J76" s="7">
        <f>'I-Features'!M76</f>
        <v/>
      </c>
      <c r="K76" s="7">
        <f>'I-Features'!L76</f>
        <v/>
      </c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</sheetData>
  <conditionalFormatting sqref="A3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G8:G76">
    <cfRule type="expression" priority="3" dxfId="2">
      <formula>EXACT($G8,"MVP")</formula>
    </cfRule>
    <cfRule type="expression" priority="4" dxfId="3">
      <formula>EXACT($G8,"Phase 2")</formula>
    </cfRule>
    <cfRule type="expression" priority="5" dxfId="4">
      <formula>EXACT($G8,"Phase 3")</formula>
    </cfRule>
    <cfRule type="expression" priority="6" dxfId="5">
      <formula>EXACT($G8,"Phase 4")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BE3D6"/>
    <outlinePr summaryBelow="1" summaryRight="1"/>
    <pageSetUpPr/>
  </sheetPr>
  <dimension ref="A1:K19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9" customWidth="1" min="1" max="1"/>
    <col width="2.66" customWidth="1" min="2" max="2"/>
    <col width="12" customWidth="1" min="3" max="3"/>
    <col width="8" customWidth="1" min="4" max="4"/>
    <col width="12" customWidth="1" min="5" max="5"/>
    <col width="13" customWidth="1" min="6" max="6"/>
    <col width="11" customWidth="1" min="7" max="7"/>
    <col width="8" customWidth="1" min="8" max="8"/>
    <col width="11" customWidth="1" min="9" max="9"/>
    <col width="13" customWidth="1" min="10" max="10"/>
    <col width="14" customWidth="1" min="11" max="11"/>
  </cols>
  <sheetData>
    <row r="1">
      <c r="A1" s="1" t="n"/>
      <c r="C1" s="2">
        <f>MID(CELL("filename",A1),FIND("[",CELL("filename",A1))+1,FIND("]",CELL("filename",A1))-FIND("[",CELL("filename",A1))-1)&amp;" - "&amp;MID(CELL("filename",A1),FIND("]",CELL("filename",A1))+1,255)</f>
        <v/>
      </c>
    </row>
    <row r="2">
      <c r="A2" s="1" t="n"/>
    </row>
    <row r="3" ht="32" customHeight="1">
      <c r="A3" s="3">
        <f>IF(TRUE,"OK","ERROR")</f>
        <v/>
      </c>
      <c r="C3" s="4" t="inlineStr">
        <is>
          <t>O-Phase-Summary — Rollup by Phase</t>
        </is>
      </c>
    </row>
    <row r="4">
      <c r="A4" s="1" t="n"/>
    </row>
    <row r="5">
      <c r="A5" s="1" t="n"/>
    </row>
    <row r="6">
      <c r="A6" s="1" t="n"/>
    </row>
    <row r="7">
      <c r="A7" s="1" t="n"/>
      <c r="C7" s="5" t="inlineStr">
        <is>
          <t>Phase</t>
        </is>
      </c>
      <c r="D7" s="5" t="inlineStr">
        <is>
          <t>Total</t>
        </is>
      </c>
      <c r="E7" s="5" t="inlineStr">
        <is>
          <t>Not Started</t>
        </is>
      </c>
      <c r="F7" s="5" t="inlineStr">
        <is>
          <t>In Progress</t>
        </is>
      </c>
      <c r="G7" s="5" t="inlineStr">
        <is>
          <t>In Review</t>
        </is>
      </c>
      <c r="H7" s="5" t="inlineStr">
        <is>
          <t>Done</t>
        </is>
      </c>
      <c r="I7" s="5" t="inlineStr">
        <is>
          <t>Deferred</t>
        </is>
      </c>
      <c r="J7" s="5" t="inlineStr">
        <is>
          <t>% Complete</t>
        </is>
      </c>
      <c r="K7" s="5" t="inlineStr">
        <is>
          <t>Effort Points</t>
        </is>
      </c>
    </row>
    <row r="8">
      <c r="A8" s="1" t="n"/>
      <c r="C8" s="8" t="inlineStr">
        <is>
          <t>MVP</t>
        </is>
      </c>
      <c r="D8" s="8">
        <f>COUNTIF('I-Features'!$H$8:$H$76,C8)</f>
        <v/>
      </c>
      <c r="E8" s="8">
        <f>COUNTIFS('I-Features'!$H$8:$H$76,C8,'I-Features'!$M$8:$M$76,"Not Started")</f>
        <v/>
      </c>
      <c r="F8" s="8">
        <f>COUNTIFS('I-Features'!$H$8:$H$76,C8,'I-Features'!$M$8:$M$76,"In Progress")</f>
        <v/>
      </c>
      <c r="G8" s="8">
        <f>COUNTIFS('I-Features'!$H$8:$H$76,C8,'I-Features'!$M$8:$M$76,"In Review")</f>
        <v/>
      </c>
      <c r="H8" s="8">
        <f>COUNTIFS('I-Features'!$H$8:$H$76,C8,'I-Features'!$M$8:$M$76,"Done")</f>
        <v/>
      </c>
      <c r="I8" s="8">
        <f>COUNTIFS('I-Features'!$H$8:$H$76,C8,'I-Features'!$M$8:$M$76,"Deferred")</f>
        <v/>
      </c>
      <c r="J8" s="9">
        <f>IFERROR(H8/D8,"-")</f>
        <v/>
      </c>
      <c r="K8" s="8">
        <f>SUMIF('I-Features'!$H$8:$H$76,C8,'C-Feature-Calcs'!$F$8:$F$76)</f>
        <v/>
      </c>
    </row>
    <row r="9">
      <c r="A9" s="1" t="n"/>
      <c r="C9" s="10" t="inlineStr">
        <is>
          <t>Phase 2</t>
        </is>
      </c>
      <c r="D9" s="10">
        <f>COUNTIF('I-Features'!$H$8:$H$76,C9)</f>
        <v/>
      </c>
      <c r="E9" s="10">
        <f>COUNTIFS('I-Features'!$H$8:$H$76,C9,'I-Features'!$M$8:$M$76,"Not Started")</f>
        <v/>
      </c>
      <c r="F9" s="10">
        <f>COUNTIFS('I-Features'!$H$8:$H$76,C9,'I-Features'!$M$8:$M$76,"In Progress")</f>
        <v/>
      </c>
      <c r="G9" s="10">
        <f>COUNTIFS('I-Features'!$H$8:$H$76,C9,'I-Features'!$M$8:$M$76,"In Review")</f>
        <v/>
      </c>
      <c r="H9" s="10">
        <f>COUNTIFS('I-Features'!$H$8:$H$76,C9,'I-Features'!$M$8:$M$76,"Done")</f>
        <v/>
      </c>
      <c r="I9" s="10">
        <f>COUNTIFS('I-Features'!$H$8:$H$76,C9,'I-Features'!$M$8:$M$76,"Deferred")</f>
        <v/>
      </c>
      <c r="J9" s="11">
        <f>IFERROR(H9/D9,"-")</f>
        <v/>
      </c>
      <c r="K9" s="10">
        <f>SUMIF('I-Features'!$H$8:$H$76,C9,'C-Feature-Calcs'!$F$8:$F$76)</f>
        <v/>
      </c>
    </row>
    <row r="10">
      <c r="A10" s="1" t="n"/>
      <c r="C10" s="12" t="inlineStr">
        <is>
          <t>Phase 3</t>
        </is>
      </c>
      <c r="D10" s="12">
        <f>COUNTIF('I-Features'!$H$8:$H$76,C10)</f>
        <v/>
      </c>
      <c r="E10" s="12">
        <f>COUNTIFS('I-Features'!$H$8:$H$76,C10,'I-Features'!$M$8:$M$76,"Not Started")</f>
        <v/>
      </c>
      <c r="F10" s="12">
        <f>COUNTIFS('I-Features'!$H$8:$H$76,C10,'I-Features'!$M$8:$M$76,"In Progress")</f>
        <v/>
      </c>
      <c r="G10" s="12">
        <f>COUNTIFS('I-Features'!$H$8:$H$76,C10,'I-Features'!$M$8:$M$76,"In Review")</f>
        <v/>
      </c>
      <c r="H10" s="12">
        <f>COUNTIFS('I-Features'!$H$8:$H$76,C10,'I-Features'!$M$8:$M$76,"Done")</f>
        <v/>
      </c>
      <c r="I10" s="12">
        <f>COUNTIFS('I-Features'!$H$8:$H$76,C10,'I-Features'!$M$8:$M$76,"Deferred")</f>
        <v/>
      </c>
      <c r="J10" s="13">
        <f>IFERROR(H10/D10,"-")</f>
        <v/>
      </c>
      <c r="K10" s="12">
        <f>SUMIF('I-Features'!$H$8:$H$76,C10,'C-Feature-Calcs'!$F$8:$F$76)</f>
        <v/>
      </c>
    </row>
    <row r="11">
      <c r="A11" s="1" t="n"/>
      <c r="C11" s="14" t="inlineStr">
        <is>
          <t>Phase 4</t>
        </is>
      </c>
      <c r="D11" s="14">
        <f>COUNTIF('I-Features'!$H$8:$H$76,C11)</f>
        <v/>
      </c>
      <c r="E11" s="14">
        <f>COUNTIFS('I-Features'!$H$8:$H$76,C11,'I-Features'!$M$8:$M$76,"Not Started")</f>
        <v/>
      </c>
      <c r="F11" s="14">
        <f>COUNTIFS('I-Features'!$H$8:$H$76,C11,'I-Features'!$M$8:$M$76,"In Progress")</f>
        <v/>
      </c>
      <c r="G11" s="14">
        <f>COUNTIFS('I-Features'!$H$8:$H$76,C11,'I-Features'!$M$8:$M$76,"In Review")</f>
        <v/>
      </c>
      <c r="H11" s="14">
        <f>COUNTIFS('I-Features'!$H$8:$H$76,C11,'I-Features'!$M$8:$M$76,"Done")</f>
        <v/>
      </c>
      <c r="I11" s="14">
        <f>COUNTIFS('I-Features'!$H$8:$H$76,C11,'I-Features'!$M$8:$M$76,"Deferred")</f>
        <v/>
      </c>
      <c r="J11" s="15">
        <f>IFERROR(H11/D11,"-")</f>
        <v/>
      </c>
      <c r="K11" s="14">
        <f>SUMIF('I-Features'!$H$8:$H$76,C11,'C-Feature-Calcs'!$F$8:$F$76)</f>
        <v/>
      </c>
    </row>
    <row r="12">
      <c r="A12" s="1" t="n"/>
      <c r="C12" s="16" t="inlineStr">
        <is>
          <t>TOTAL</t>
        </is>
      </c>
      <c r="D12" s="16">
        <f>SUM(D8:D11)</f>
        <v/>
      </c>
      <c r="E12" s="16">
        <f>SUM(E8:E11)</f>
        <v/>
      </c>
      <c r="F12" s="16">
        <f>SUM(F8:F11)</f>
        <v/>
      </c>
      <c r="G12" s="16">
        <f>SUM(G8:G11)</f>
        <v/>
      </c>
      <c r="H12" s="16">
        <f>SUM(H8:H11)</f>
        <v/>
      </c>
      <c r="I12" s="16">
        <f>SUM(I8:I11)</f>
        <v/>
      </c>
      <c r="J12" s="17">
        <f>IFERROR(H12/D12,"-")</f>
        <v/>
      </c>
      <c r="K12" s="16">
        <f>SUM(K8:K11)</f>
        <v/>
      </c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</sheetData>
  <conditionalFormatting sqref="A3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1E5F5"/>
    <outlinePr summaryBelow="1" summaryRight="1"/>
    <pageSetUpPr/>
  </sheetPr>
  <dimension ref="A1:I19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9" customWidth="1" min="1" max="1"/>
    <col width="2.66" customWidth="1" min="2" max="2"/>
    <col width="12" customWidth="1" min="3" max="3"/>
    <col width="10" customWidth="1" min="4" max="4"/>
    <col width="8" customWidth="1" min="5" max="5"/>
    <col width="10" customWidth="1" min="6" max="6"/>
    <col width="14" customWidth="1" min="7" max="7"/>
    <col width="9" customWidth="1" min="8" max="8"/>
    <col width="14" customWidth="1" min="9" max="9"/>
  </cols>
  <sheetData>
    <row r="1">
      <c r="A1" s="1" t="n"/>
      <c r="C1" s="2">
        <f>MID(CELL("filename",A1),FIND("[",CELL("filename",A1))+1,FIND("]",CELL("filename",A1))-FIND("[",CELL("filename",A1))-1)&amp;" - "&amp;MID(CELL("filename",A1),FIND("]",CELL("filename",A1))+1,255)</f>
        <v/>
      </c>
    </row>
    <row r="2">
      <c r="A2" s="1" t="n"/>
    </row>
    <row r="3" ht="32" customHeight="1">
      <c r="A3" s="3">
        <f>IF(TRUE,"OK","ERROR")</f>
        <v/>
      </c>
      <c r="C3" s="4" t="inlineStr">
        <is>
          <t>C-Feature-Calcs — Derived Metrics</t>
        </is>
      </c>
    </row>
    <row r="4">
      <c r="A4" s="1" t="n"/>
    </row>
    <row r="5">
      <c r="A5" s="1" t="n"/>
    </row>
    <row r="6">
      <c r="A6" s="1" t="n"/>
    </row>
    <row r="7">
      <c r="A7" s="1" t="n"/>
      <c r="C7" s="5" t="inlineStr">
        <is>
          <t>Feature_ID</t>
        </is>
      </c>
      <c r="D7" s="5" t="inlineStr">
        <is>
          <t>Phase</t>
        </is>
      </c>
      <c r="E7" s="5" t="inlineStr">
        <is>
          <t>Effort</t>
        </is>
      </c>
      <c r="F7" s="5" t="inlineStr">
        <is>
          <t>Effort_Pts</t>
        </is>
      </c>
      <c r="G7" s="5" t="inlineStr">
        <is>
          <t>Status</t>
        </is>
      </c>
      <c r="H7" s="5" t="inlineStr">
        <is>
          <t>Is_Done</t>
        </is>
      </c>
      <c r="I7" s="5" t="inlineStr">
        <is>
          <t>Is_In_Progress</t>
        </is>
      </c>
    </row>
    <row r="8">
      <c r="A8" s="1" t="n"/>
      <c r="C8" s="6">
        <f>'I-Features'!C8</f>
        <v/>
      </c>
      <c r="D8" s="6">
        <f>'I-Features'!H8</f>
        <v/>
      </c>
      <c r="E8" s="6">
        <f>'I-Features'!J8</f>
        <v/>
      </c>
      <c r="F8" s="6">
        <f>IFERROR(VLOOKUP(E8,'A-Specific'!$F$8:$G$11,2,FALSE),0)</f>
        <v/>
      </c>
      <c r="G8" s="6">
        <f>'I-Features'!M8</f>
        <v/>
      </c>
      <c r="H8" s="6">
        <f>IF(G8="Done",1,0)</f>
        <v/>
      </c>
      <c r="I8" s="6">
        <f>IF(G8="In Progress",1,0)</f>
        <v/>
      </c>
    </row>
    <row r="9">
      <c r="A9" s="1" t="n"/>
      <c r="C9" s="6">
        <f>'I-Features'!C9</f>
        <v/>
      </c>
      <c r="D9" s="6">
        <f>'I-Features'!H9</f>
        <v/>
      </c>
      <c r="E9" s="6">
        <f>'I-Features'!J9</f>
        <v/>
      </c>
      <c r="F9" s="6">
        <f>IFERROR(VLOOKUP(E9,'A-Specific'!$F$8:$G$11,2,FALSE),0)</f>
        <v/>
      </c>
      <c r="G9" s="6">
        <f>'I-Features'!M9</f>
        <v/>
      </c>
      <c r="H9" s="6">
        <f>IF(G9="Done",1,0)</f>
        <v/>
      </c>
      <c r="I9" s="6">
        <f>IF(G9="In Progress",1,0)</f>
        <v/>
      </c>
    </row>
    <row r="10">
      <c r="A10" s="1" t="n"/>
      <c r="C10" s="6">
        <f>'I-Features'!C10</f>
        <v/>
      </c>
      <c r="D10" s="6">
        <f>'I-Features'!H10</f>
        <v/>
      </c>
      <c r="E10" s="6">
        <f>'I-Features'!J10</f>
        <v/>
      </c>
      <c r="F10" s="6">
        <f>IFERROR(VLOOKUP(E10,'A-Specific'!$F$8:$G$11,2,FALSE),0)</f>
        <v/>
      </c>
      <c r="G10" s="6">
        <f>'I-Features'!M10</f>
        <v/>
      </c>
      <c r="H10" s="6">
        <f>IF(G10="Done",1,0)</f>
        <v/>
      </c>
      <c r="I10" s="6">
        <f>IF(G10="In Progress",1,0)</f>
        <v/>
      </c>
    </row>
    <row r="11">
      <c r="A11" s="1" t="n"/>
      <c r="C11" s="6">
        <f>'I-Features'!C11</f>
        <v/>
      </c>
      <c r="D11" s="6">
        <f>'I-Features'!H11</f>
        <v/>
      </c>
      <c r="E11" s="6">
        <f>'I-Features'!J11</f>
        <v/>
      </c>
      <c r="F11" s="6">
        <f>IFERROR(VLOOKUP(E11,'A-Specific'!$F$8:$G$11,2,FALSE),0)</f>
        <v/>
      </c>
      <c r="G11" s="6">
        <f>'I-Features'!M11</f>
        <v/>
      </c>
      <c r="H11" s="6">
        <f>IF(G11="Done",1,0)</f>
        <v/>
      </c>
      <c r="I11" s="6">
        <f>IF(G11="In Progress",1,0)</f>
        <v/>
      </c>
    </row>
    <row r="12">
      <c r="A12" s="1" t="n"/>
      <c r="C12" s="6">
        <f>'I-Features'!C12</f>
        <v/>
      </c>
      <c r="D12" s="6">
        <f>'I-Features'!H12</f>
        <v/>
      </c>
      <c r="E12" s="6">
        <f>'I-Features'!J12</f>
        <v/>
      </c>
      <c r="F12" s="6">
        <f>IFERROR(VLOOKUP(E12,'A-Specific'!$F$8:$G$11,2,FALSE),0)</f>
        <v/>
      </c>
      <c r="G12" s="6">
        <f>'I-Features'!M12</f>
        <v/>
      </c>
      <c r="H12" s="6">
        <f>IF(G12="Done",1,0)</f>
        <v/>
      </c>
      <c r="I12" s="6">
        <f>IF(G12="In Progress",1,0)</f>
        <v/>
      </c>
    </row>
    <row r="13">
      <c r="A13" s="1" t="n"/>
      <c r="C13" s="6">
        <f>'I-Features'!C13</f>
        <v/>
      </c>
      <c r="D13" s="6">
        <f>'I-Features'!H13</f>
        <v/>
      </c>
      <c r="E13" s="6">
        <f>'I-Features'!J13</f>
        <v/>
      </c>
      <c r="F13" s="6">
        <f>IFERROR(VLOOKUP(E13,'A-Specific'!$F$8:$G$11,2,FALSE),0)</f>
        <v/>
      </c>
      <c r="G13" s="6">
        <f>'I-Features'!M13</f>
        <v/>
      </c>
      <c r="H13" s="6">
        <f>IF(G13="Done",1,0)</f>
        <v/>
      </c>
      <c r="I13" s="6">
        <f>IF(G13="In Progress",1,0)</f>
        <v/>
      </c>
    </row>
    <row r="14">
      <c r="A14" s="1" t="n"/>
      <c r="C14" s="6">
        <f>'I-Features'!C14</f>
        <v/>
      </c>
      <c r="D14" s="6">
        <f>'I-Features'!H14</f>
        <v/>
      </c>
      <c r="E14" s="6">
        <f>'I-Features'!J14</f>
        <v/>
      </c>
      <c r="F14" s="6">
        <f>IFERROR(VLOOKUP(E14,'A-Specific'!$F$8:$G$11,2,FALSE),0)</f>
        <v/>
      </c>
      <c r="G14" s="6">
        <f>'I-Features'!M14</f>
        <v/>
      </c>
      <c r="H14" s="6">
        <f>IF(G14="Done",1,0)</f>
        <v/>
      </c>
      <c r="I14" s="6">
        <f>IF(G14="In Progress",1,0)</f>
        <v/>
      </c>
    </row>
    <row r="15">
      <c r="A15" s="1" t="n"/>
      <c r="C15" s="6">
        <f>'I-Features'!C15</f>
        <v/>
      </c>
      <c r="D15" s="6">
        <f>'I-Features'!H15</f>
        <v/>
      </c>
      <c r="E15" s="6">
        <f>'I-Features'!J15</f>
        <v/>
      </c>
      <c r="F15" s="6">
        <f>IFERROR(VLOOKUP(E15,'A-Specific'!$F$8:$G$11,2,FALSE),0)</f>
        <v/>
      </c>
      <c r="G15" s="6">
        <f>'I-Features'!M15</f>
        <v/>
      </c>
      <c r="H15" s="6">
        <f>IF(G15="Done",1,0)</f>
        <v/>
      </c>
      <c r="I15" s="6">
        <f>IF(G15="In Progress",1,0)</f>
        <v/>
      </c>
    </row>
    <row r="16">
      <c r="A16" s="1" t="n"/>
      <c r="C16" s="6">
        <f>'I-Features'!C16</f>
        <v/>
      </c>
      <c r="D16" s="6">
        <f>'I-Features'!H16</f>
        <v/>
      </c>
      <c r="E16" s="6">
        <f>'I-Features'!J16</f>
        <v/>
      </c>
      <c r="F16" s="6">
        <f>IFERROR(VLOOKUP(E16,'A-Specific'!$F$8:$G$11,2,FALSE),0)</f>
        <v/>
      </c>
      <c r="G16" s="6">
        <f>'I-Features'!M16</f>
        <v/>
      </c>
      <c r="H16" s="6">
        <f>IF(G16="Done",1,0)</f>
        <v/>
      </c>
      <c r="I16" s="6">
        <f>IF(G16="In Progress",1,0)</f>
        <v/>
      </c>
    </row>
    <row r="17">
      <c r="A17" s="1" t="n"/>
      <c r="C17" s="6">
        <f>'I-Features'!C17</f>
        <v/>
      </c>
      <c r="D17" s="6">
        <f>'I-Features'!H17</f>
        <v/>
      </c>
      <c r="E17" s="6">
        <f>'I-Features'!J17</f>
        <v/>
      </c>
      <c r="F17" s="6">
        <f>IFERROR(VLOOKUP(E17,'A-Specific'!$F$8:$G$11,2,FALSE),0)</f>
        <v/>
      </c>
      <c r="G17" s="6">
        <f>'I-Features'!M17</f>
        <v/>
      </c>
      <c r="H17" s="6">
        <f>IF(G17="Done",1,0)</f>
        <v/>
      </c>
      <c r="I17" s="6">
        <f>IF(G17="In Progress",1,0)</f>
        <v/>
      </c>
    </row>
    <row r="18">
      <c r="A18" s="1" t="n"/>
      <c r="C18" s="6">
        <f>'I-Features'!C18</f>
        <v/>
      </c>
      <c r="D18" s="6">
        <f>'I-Features'!H18</f>
        <v/>
      </c>
      <c r="E18" s="6">
        <f>'I-Features'!J18</f>
        <v/>
      </c>
      <c r="F18" s="6">
        <f>IFERROR(VLOOKUP(E18,'A-Specific'!$F$8:$G$11,2,FALSE),0)</f>
        <v/>
      </c>
      <c r="G18" s="6">
        <f>'I-Features'!M18</f>
        <v/>
      </c>
      <c r="H18" s="6">
        <f>IF(G18="Done",1,0)</f>
        <v/>
      </c>
      <c r="I18" s="6">
        <f>IF(G18="In Progress",1,0)</f>
        <v/>
      </c>
    </row>
    <row r="19">
      <c r="A19" s="1" t="n"/>
      <c r="C19" s="6">
        <f>'I-Features'!C19</f>
        <v/>
      </c>
      <c r="D19" s="6">
        <f>'I-Features'!H19</f>
        <v/>
      </c>
      <c r="E19" s="6">
        <f>'I-Features'!J19</f>
        <v/>
      </c>
      <c r="F19" s="6">
        <f>IFERROR(VLOOKUP(E19,'A-Specific'!$F$8:$G$11,2,FALSE),0)</f>
        <v/>
      </c>
      <c r="G19" s="6">
        <f>'I-Features'!M19</f>
        <v/>
      </c>
      <c r="H19" s="6">
        <f>IF(G19="Done",1,0)</f>
        <v/>
      </c>
      <c r="I19" s="6">
        <f>IF(G19="In Progress",1,0)</f>
        <v/>
      </c>
    </row>
    <row r="20">
      <c r="A20" s="1" t="n"/>
      <c r="C20" s="6">
        <f>'I-Features'!C20</f>
        <v/>
      </c>
      <c r="D20" s="6">
        <f>'I-Features'!H20</f>
        <v/>
      </c>
      <c r="E20" s="6">
        <f>'I-Features'!J20</f>
        <v/>
      </c>
      <c r="F20" s="6">
        <f>IFERROR(VLOOKUP(E20,'A-Specific'!$F$8:$G$11,2,FALSE),0)</f>
        <v/>
      </c>
      <c r="G20" s="6">
        <f>'I-Features'!M20</f>
        <v/>
      </c>
      <c r="H20" s="6">
        <f>IF(G20="Done",1,0)</f>
        <v/>
      </c>
      <c r="I20" s="6">
        <f>IF(G20="In Progress",1,0)</f>
        <v/>
      </c>
    </row>
    <row r="21">
      <c r="A21" s="1" t="n"/>
      <c r="C21" s="6">
        <f>'I-Features'!C21</f>
        <v/>
      </c>
      <c r="D21" s="6">
        <f>'I-Features'!H21</f>
        <v/>
      </c>
      <c r="E21" s="6">
        <f>'I-Features'!J21</f>
        <v/>
      </c>
      <c r="F21" s="6">
        <f>IFERROR(VLOOKUP(E21,'A-Specific'!$F$8:$G$11,2,FALSE),0)</f>
        <v/>
      </c>
      <c r="G21" s="6">
        <f>'I-Features'!M21</f>
        <v/>
      </c>
      <c r="H21" s="6">
        <f>IF(G21="Done",1,0)</f>
        <v/>
      </c>
      <c r="I21" s="6">
        <f>IF(G21="In Progress",1,0)</f>
        <v/>
      </c>
    </row>
    <row r="22">
      <c r="A22" s="1" t="n"/>
      <c r="C22" s="6">
        <f>'I-Features'!C22</f>
        <v/>
      </c>
      <c r="D22" s="6">
        <f>'I-Features'!H22</f>
        <v/>
      </c>
      <c r="E22" s="6">
        <f>'I-Features'!J22</f>
        <v/>
      </c>
      <c r="F22" s="6">
        <f>IFERROR(VLOOKUP(E22,'A-Specific'!$F$8:$G$11,2,FALSE),0)</f>
        <v/>
      </c>
      <c r="G22" s="6">
        <f>'I-Features'!M22</f>
        <v/>
      </c>
      <c r="H22" s="6">
        <f>IF(G22="Done",1,0)</f>
        <v/>
      </c>
      <c r="I22" s="6">
        <f>IF(G22="In Progress",1,0)</f>
        <v/>
      </c>
    </row>
    <row r="23">
      <c r="A23" s="1" t="n"/>
      <c r="C23" s="6">
        <f>'I-Features'!C23</f>
        <v/>
      </c>
      <c r="D23" s="6">
        <f>'I-Features'!H23</f>
        <v/>
      </c>
      <c r="E23" s="6">
        <f>'I-Features'!J23</f>
        <v/>
      </c>
      <c r="F23" s="6">
        <f>IFERROR(VLOOKUP(E23,'A-Specific'!$F$8:$G$11,2,FALSE),0)</f>
        <v/>
      </c>
      <c r="G23" s="6">
        <f>'I-Features'!M23</f>
        <v/>
      </c>
      <c r="H23" s="6">
        <f>IF(G23="Done",1,0)</f>
        <v/>
      </c>
      <c r="I23" s="6">
        <f>IF(G23="In Progress",1,0)</f>
        <v/>
      </c>
    </row>
    <row r="24">
      <c r="A24" s="1" t="n"/>
      <c r="C24" s="6">
        <f>'I-Features'!C24</f>
        <v/>
      </c>
      <c r="D24" s="6">
        <f>'I-Features'!H24</f>
        <v/>
      </c>
      <c r="E24" s="6">
        <f>'I-Features'!J24</f>
        <v/>
      </c>
      <c r="F24" s="6">
        <f>IFERROR(VLOOKUP(E24,'A-Specific'!$F$8:$G$11,2,FALSE),0)</f>
        <v/>
      </c>
      <c r="G24" s="6">
        <f>'I-Features'!M24</f>
        <v/>
      </c>
      <c r="H24" s="6">
        <f>IF(G24="Done",1,0)</f>
        <v/>
      </c>
      <c r="I24" s="6">
        <f>IF(G24="In Progress",1,0)</f>
        <v/>
      </c>
    </row>
    <row r="25">
      <c r="A25" s="1" t="n"/>
      <c r="C25" s="6">
        <f>'I-Features'!C25</f>
        <v/>
      </c>
      <c r="D25" s="6">
        <f>'I-Features'!H25</f>
        <v/>
      </c>
      <c r="E25" s="6">
        <f>'I-Features'!J25</f>
        <v/>
      </c>
      <c r="F25" s="6">
        <f>IFERROR(VLOOKUP(E25,'A-Specific'!$F$8:$G$11,2,FALSE),0)</f>
        <v/>
      </c>
      <c r="G25" s="6">
        <f>'I-Features'!M25</f>
        <v/>
      </c>
      <c r="H25" s="6">
        <f>IF(G25="Done",1,0)</f>
        <v/>
      </c>
      <c r="I25" s="6">
        <f>IF(G25="In Progress",1,0)</f>
        <v/>
      </c>
    </row>
    <row r="26">
      <c r="A26" s="1" t="n"/>
      <c r="C26" s="6">
        <f>'I-Features'!C26</f>
        <v/>
      </c>
      <c r="D26" s="6">
        <f>'I-Features'!H26</f>
        <v/>
      </c>
      <c r="E26" s="6">
        <f>'I-Features'!J26</f>
        <v/>
      </c>
      <c r="F26" s="6">
        <f>IFERROR(VLOOKUP(E26,'A-Specific'!$F$8:$G$11,2,FALSE),0)</f>
        <v/>
      </c>
      <c r="G26" s="6">
        <f>'I-Features'!M26</f>
        <v/>
      </c>
      <c r="H26" s="6">
        <f>IF(G26="Done",1,0)</f>
        <v/>
      </c>
      <c r="I26" s="6">
        <f>IF(G26="In Progress",1,0)</f>
        <v/>
      </c>
    </row>
    <row r="27">
      <c r="A27" s="1" t="n"/>
      <c r="C27" s="6">
        <f>'I-Features'!C27</f>
        <v/>
      </c>
      <c r="D27" s="6">
        <f>'I-Features'!H27</f>
        <v/>
      </c>
      <c r="E27" s="6">
        <f>'I-Features'!J27</f>
        <v/>
      </c>
      <c r="F27" s="6">
        <f>IFERROR(VLOOKUP(E27,'A-Specific'!$F$8:$G$11,2,FALSE),0)</f>
        <v/>
      </c>
      <c r="G27" s="6">
        <f>'I-Features'!M27</f>
        <v/>
      </c>
      <c r="H27" s="6">
        <f>IF(G27="Done",1,0)</f>
        <v/>
      </c>
      <c r="I27" s="6">
        <f>IF(G27="In Progress",1,0)</f>
        <v/>
      </c>
    </row>
    <row r="28">
      <c r="A28" s="1" t="n"/>
      <c r="C28" s="6">
        <f>'I-Features'!C28</f>
        <v/>
      </c>
      <c r="D28" s="6">
        <f>'I-Features'!H28</f>
        <v/>
      </c>
      <c r="E28" s="6">
        <f>'I-Features'!J28</f>
        <v/>
      </c>
      <c r="F28" s="6">
        <f>IFERROR(VLOOKUP(E28,'A-Specific'!$F$8:$G$11,2,FALSE),0)</f>
        <v/>
      </c>
      <c r="G28" s="6">
        <f>'I-Features'!M28</f>
        <v/>
      </c>
      <c r="H28" s="6">
        <f>IF(G28="Done",1,0)</f>
        <v/>
      </c>
      <c r="I28" s="6">
        <f>IF(G28="In Progress",1,0)</f>
        <v/>
      </c>
    </row>
    <row r="29">
      <c r="A29" s="1" t="n"/>
      <c r="C29" s="6">
        <f>'I-Features'!C29</f>
        <v/>
      </c>
      <c r="D29" s="6">
        <f>'I-Features'!H29</f>
        <v/>
      </c>
      <c r="E29" s="6">
        <f>'I-Features'!J29</f>
        <v/>
      </c>
      <c r="F29" s="6">
        <f>IFERROR(VLOOKUP(E29,'A-Specific'!$F$8:$G$11,2,FALSE),0)</f>
        <v/>
      </c>
      <c r="G29" s="6">
        <f>'I-Features'!M29</f>
        <v/>
      </c>
      <c r="H29" s="6">
        <f>IF(G29="Done",1,0)</f>
        <v/>
      </c>
      <c r="I29" s="6">
        <f>IF(G29="In Progress",1,0)</f>
        <v/>
      </c>
    </row>
    <row r="30">
      <c r="A30" s="1" t="n"/>
      <c r="C30" s="6">
        <f>'I-Features'!C30</f>
        <v/>
      </c>
      <c r="D30" s="6">
        <f>'I-Features'!H30</f>
        <v/>
      </c>
      <c r="E30" s="6">
        <f>'I-Features'!J30</f>
        <v/>
      </c>
      <c r="F30" s="6">
        <f>IFERROR(VLOOKUP(E30,'A-Specific'!$F$8:$G$11,2,FALSE),0)</f>
        <v/>
      </c>
      <c r="G30" s="6">
        <f>'I-Features'!M30</f>
        <v/>
      </c>
      <c r="H30" s="6">
        <f>IF(G30="Done",1,0)</f>
        <v/>
      </c>
      <c r="I30" s="6">
        <f>IF(G30="In Progress",1,0)</f>
        <v/>
      </c>
    </row>
    <row r="31">
      <c r="A31" s="1" t="n"/>
      <c r="C31" s="6">
        <f>'I-Features'!C31</f>
        <v/>
      </c>
      <c r="D31" s="6">
        <f>'I-Features'!H31</f>
        <v/>
      </c>
      <c r="E31" s="6">
        <f>'I-Features'!J31</f>
        <v/>
      </c>
      <c r="F31" s="6">
        <f>IFERROR(VLOOKUP(E31,'A-Specific'!$F$8:$G$11,2,FALSE),0)</f>
        <v/>
      </c>
      <c r="G31" s="6">
        <f>'I-Features'!M31</f>
        <v/>
      </c>
      <c r="H31" s="6">
        <f>IF(G31="Done",1,0)</f>
        <v/>
      </c>
      <c r="I31" s="6">
        <f>IF(G31="In Progress",1,0)</f>
        <v/>
      </c>
    </row>
    <row r="32">
      <c r="A32" s="1" t="n"/>
      <c r="C32" s="6">
        <f>'I-Features'!C32</f>
        <v/>
      </c>
      <c r="D32" s="6">
        <f>'I-Features'!H32</f>
        <v/>
      </c>
      <c r="E32" s="6">
        <f>'I-Features'!J32</f>
        <v/>
      </c>
      <c r="F32" s="6">
        <f>IFERROR(VLOOKUP(E32,'A-Specific'!$F$8:$G$11,2,FALSE),0)</f>
        <v/>
      </c>
      <c r="G32" s="6">
        <f>'I-Features'!M32</f>
        <v/>
      </c>
      <c r="H32" s="6">
        <f>IF(G32="Done",1,0)</f>
        <v/>
      </c>
      <c r="I32" s="6">
        <f>IF(G32="In Progress",1,0)</f>
        <v/>
      </c>
    </row>
    <row r="33">
      <c r="A33" s="1" t="n"/>
      <c r="C33" s="6">
        <f>'I-Features'!C33</f>
        <v/>
      </c>
      <c r="D33" s="6">
        <f>'I-Features'!H33</f>
        <v/>
      </c>
      <c r="E33" s="6">
        <f>'I-Features'!J33</f>
        <v/>
      </c>
      <c r="F33" s="6">
        <f>IFERROR(VLOOKUP(E33,'A-Specific'!$F$8:$G$11,2,FALSE),0)</f>
        <v/>
      </c>
      <c r="G33" s="6">
        <f>'I-Features'!M33</f>
        <v/>
      </c>
      <c r="H33" s="6">
        <f>IF(G33="Done",1,0)</f>
        <v/>
      </c>
      <c r="I33" s="6">
        <f>IF(G33="In Progress",1,0)</f>
        <v/>
      </c>
    </row>
    <row r="34">
      <c r="A34" s="1" t="n"/>
      <c r="C34" s="6">
        <f>'I-Features'!C34</f>
        <v/>
      </c>
      <c r="D34" s="6">
        <f>'I-Features'!H34</f>
        <v/>
      </c>
      <c r="E34" s="6">
        <f>'I-Features'!J34</f>
        <v/>
      </c>
      <c r="F34" s="6">
        <f>IFERROR(VLOOKUP(E34,'A-Specific'!$F$8:$G$11,2,FALSE),0)</f>
        <v/>
      </c>
      <c r="G34" s="6">
        <f>'I-Features'!M34</f>
        <v/>
      </c>
      <c r="H34" s="6">
        <f>IF(G34="Done",1,0)</f>
        <v/>
      </c>
      <c r="I34" s="6">
        <f>IF(G34="In Progress",1,0)</f>
        <v/>
      </c>
    </row>
    <row r="35">
      <c r="A35" s="1" t="n"/>
      <c r="C35" s="6">
        <f>'I-Features'!C35</f>
        <v/>
      </c>
      <c r="D35" s="6">
        <f>'I-Features'!H35</f>
        <v/>
      </c>
      <c r="E35" s="6">
        <f>'I-Features'!J35</f>
        <v/>
      </c>
      <c r="F35" s="6">
        <f>IFERROR(VLOOKUP(E35,'A-Specific'!$F$8:$G$11,2,FALSE),0)</f>
        <v/>
      </c>
      <c r="G35" s="6">
        <f>'I-Features'!M35</f>
        <v/>
      </c>
      <c r="H35" s="6">
        <f>IF(G35="Done",1,0)</f>
        <v/>
      </c>
      <c r="I35" s="6">
        <f>IF(G35="In Progress",1,0)</f>
        <v/>
      </c>
    </row>
    <row r="36">
      <c r="A36" s="1" t="n"/>
      <c r="C36" s="6">
        <f>'I-Features'!C36</f>
        <v/>
      </c>
      <c r="D36" s="6">
        <f>'I-Features'!H36</f>
        <v/>
      </c>
      <c r="E36" s="6">
        <f>'I-Features'!J36</f>
        <v/>
      </c>
      <c r="F36" s="6">
        <f>IFERROR(VLOOKUP(E36,'A-Specific'!$F$8:$G$11,2,FALSE),0)</f>
        <v/>
      </c>
      <c r="G36" s="6">
        <f>'I-Features'!M36</f>
        <v/>
      </c>
      <c r="H36" s="6">
        <f>IF(G36="Done",1,0)</f>
        <v/>
      </c>
      <c r="I36" s="6">
        <f>IF(G36="In Progress",1,0)</f>
        <v/>
      </c>
    </row>
    <row r="37">
      <c r="A37" s="1" t="n"/>
      <c r="C37" s="6">
        <f>'I-Features'!C37</f>
        <v/>
      </c>
      <c r="D37" s="6">
        <f>'I-Features'!H37</f>
        <v/>
      </c>
      <c r="E37" s="6">
        <f>'I-Features'!J37</f>
        <v/>
      </c>
      <c r="F37" s="6">
        <f>IFERROR(VLOOKUP(E37,'A-Specific'!$F$8:$G$11,2,FALSE),0)</f>
        <v/>
      </c>
      <c r="G37" s="6">
        <f>'I-Features'!M37</f>
        <v/>
      </c>
      <c r="H37" s="6">
        <f>IF(G37="Done",1,0)</f>
        <v/>
      </c>
      <c r="I37" s="6">
        <f>IF(G37="In Progress",1,0)</f>
        <v/>
      </c>
    </row>
    <row r="38">
      <c r="A38" s="1" t="n"/>
      <c r="C38" s="6">
        <f>'I-Features'!C38</f>
        <v/>
      </c>
      <c r="D38" s="6">
        <f>'I-Features'!H38</f>
        <v/>
      </c>
      <c r="E38" s="6">
        <f>'I-Features'!J38</f>
        <v/>
      </c>
      <c r="F38" s="6">
        <f>IFERROR(VLOOKUP(E38,'A-Specific'!$F$8:$G$11,2,FALSE),0)</f>
        <v/>
      </c>
      <c r="G38" s="6">
        <f>'I-Features'!M38</f>
        <v/>
      </c>
      <c r="H38" s="6">
        <f>IF(G38="Done",1,0)</f>
        <v/>
      </c>
      <c r="I38" s="6">
        <f>IF(G38="In Progress",1,0)</f>
        <v/>
      </c>
    </row>
    <row r="39">
      <c r="A39" s="1" t="n"/>
      <c r="C39" s="6">
        <f>'I-Features'!C39</f>
        <v/>
      </c>
      <c r="D39" s="6">
        <f>'I-Features'!H39</f>
        <v/>
      </c>
      <c r="E39" s="6">
        <f>'I-Features'!J39</f>
        <v/>
      </c>
      <c r="F39" s="6">
        <f>IFERROR(VLOOKUP(E39,'A-Specific'!$F$8:$G$11,2,FALSE),0)</f>
        <v/>
      </c>
      <c r="G39" s="6">
        <f>'I-Features'!M39</f>
        <v/>
      </c>
      <c r="H39" s="6">
        <f>IF(G39="Done",1,0)</f>
        <v/>
      </c>
      <c r="I39" s="6">
        <f>IF(G39="In Progress",1,0)</f>
        <v/>
      </c>
    </row>
    <row r="40">
      <c r="A40" s="1" t="n"/>
      <c r="C40" s="6">
        <f>'I-Features'!C40</f>
        <v/>
      </c>
      <c r="D40" s="6">
        <f>'I-Features'!H40</f>
        <v/>
      </c>
      <c r="E40" s="6">
        <f>'I-Features'!J40</f>
        <v/>
      </c>
      <c r="F40" s="6">
        <f>IFERROR(VLOOKUP(E40,'A-Specific'!$F$8:$G$11,2,FALSE),0)</f>
        <v/>
      </c>
      <c r="G40" s="6">
        <f>'I-Features'!M40</f>
        <v/>
      </c>
      <c r="H40" s="6">
        <f>IF(G40="Done",1,0)</f>
        <v/>
      </c>
      <c r="I40" s="6">
        <f>IF(G40="In Progress",1,0)</f>
        <v/>
      </c>
    </row>
    <row r="41">
      <c r="A41" s="1" t="n"/>
      <c r="C41" s="6">
        <f>'I-Features'!C41</f>
        <v/>
      </c>
      <c r="D41" s="6">
        <f>'I-Features'!H41</f>
        <v/>
      </c>
      <c r="E41" s="6">
        <f>'I-Features'!J41</f>
        <v/>
      </c>
      <c r="F41" s="6">
        <f>IFERROR(VLOOKUP(E41,'A-Specific'!$F$8:$G$11,2,FALSE),0)</f>
        <v/>
      </c>
      <c r="G41" s="6">
        <f>'I-Features'!M41</f>
        <v/>
      </c>
      <c r="H41" s="6">
        <f>IF(G41="Done",1,0)</f>
        <v/>
      </c>
      <c r="I41" s="6">
        <f>IF(G41="In Progress",1,0)</f>
        <v/>
      </c>
    </row>
    <row r="42">
      <c r="A42" s="1" t="n"/>
      <c r="C42" s="6">
        <f>'I-Features'!C42</f>
        <v/>
      </c>
      <c r="D42" s="6">
        <f>'I-Features'!H42</f>
        <v/>
      </c>
      <c r="E42" s="6">
        <f>'I-Features'!J42</f>
        <v/>
      </c>
      <c r="F42" s="6">
        <f>IFERROR(VLOOKUP(E42,'A-Specific'!$F$8:$G$11,2,FALSE),0)</f>
        <v/>
      </c>
      <c r="G42" s="6">
        <f>'I-Features'!M42</f>
        <v/>
      </c>
      <c r="H42" s="6">
        <f>IF(G42="Done",1,0)</f>
        <v/>
      </c>
      <c r="I42" s="6">
        <f>IF(G42="In Progress",1,0)</f>
        <v/>
      </c>
    </row>
    <row r="43">
      <c r="A43" s="1" t="n"/>
      <c r="C43" s="6">
        <f>'I-Features'!C43</f>
        <v/>
      </c>
      <c r="D43" s="6">
        <f>'I-Features'!H43</f>
        <v/>
      </c>
      <c r="E43" s="6">
        <f>'I-Features'!J43</f>
        <v/>
      </c>
      <c r="F43" s="6">
        <f>IFERROR(VLOOKUP(E43,'A-Specific'!$F$8:$G$11,2,FALSE),0)</f>
        <v/>
      </c>
      <c r="G43" s="6">
        <f>'I-Features'!M43</f>
        <v/>
      </c>
      <c r="H43" s="6">
        <f>IF(G43="Done",1,0)</f>
        <v/>
      </c>
      <c r="I43" s="6">
        <f>IF(G43="In Progress",1,0)</f>
        <v/>
      </c>
    </row>
    <row r="44">
      <c r="A44" s="1" t="n"/>
      <c r="C44" s="6">
        <f>'I-Features'!C44</f>
        <v/>
      </c>
      <c r="D44" s="6">
        <f>'I-Features'!H44</f>
        <v/>
      </c>
      <c r="E44" s="6">
        <f>'I-Features'!J44</f>
        <v/>
      </c>
      <c r="F44" s="6">
        <f>IFERROR(VLOOKUP(E44,'A-Specific'!$F$8:$G$11,2,FALSE),0)</f>
        <v/>
      </c>
      <c r="G44" s="6">
        <f>'I-Features'!M44</f>
        <v/>
      </c>
      <c r="H44" s="6">
        <f>IF(G44="Done",1,0)</f>
        <v/>
      </c>
      <c r="I44" s="6">
        <f>IF(G44="In Progress",1,0)</f>
        <v/>
      </c>
    </row>
    <row r="45">
      <c r="A45" s="1" t="n"/>
      <c r="C45" s="6">
        <f>'I-Features'!C45</f>
        <v/>
      </c>
      <c r="D45" s="6">
        <f>'I-Features'!H45</f>
        <v/>
      </c>
      <c r="E45" s="6">
        <f>'I-Features'!J45</f>
        <v/>
      </c>
      <c r="F45" s="6">
        <f>IFERROR(VLOOKUP(E45,'A-Specific'!$F$8:$G$11,2,FALSE),0)</f>
        <v/>
      </c>
      <c r="G45" s="6">
        <f>'I-Features'!M45</f>
        <v/>
      </c>
      <c r="H45" s="6">
        <f>IF(G45="Done",1,0)</f>
        <v/>
      </c>
      <c r="I45" s="6">
        <f>IF(G45="In Progress",1,0)</f>
        <v/>
      </c>
    </row>
    <row r="46">
      <c r="A46" s="1" t="n"/>
      <c r="C46" s="6">
        <f>'I-Features'!C46</f>
        <v/>
      </c>
      <c r="D46" s="6">
        <f>'I-Features'!H46</f>
        <v/>
      </c>
      <c r="E46" s="6">
        <f>'I-Features'!J46</f>
        <v/>
      </c>
      <c r="F46" s="6">
        <f>IFERROR(VLOOKUP(E46,'A-Specific'!$F$8:$G$11,2,FALSE),0)</f>
        <v/>
      </c>
      <c r="G46" s="6">
        <f>'I-Features'!M46</f>
        <v/>
      </c>
      <c r="H46" s="6">
        <f>IF(G46="Done",1,0)</f>
        <v/>
      </c>
      <c r="I46" s="6">
        <f>IF(G46="In Progress",1,0)</f>
        <v/>
      </c>
    </row>
    <row r="47">
      <c r="A47" s="1" t="n"/>
      <c r="C47" s="6">
        <f>'I-Features'!C47</f>
        <v/>
      </c>
      <c r="D47" s="6">
        <f>'I-Features'!H47</f>
        <v/>
      </c>
      <c r="E47" s="6">
        <f>'I-Features'!J47</f>
        <v/>
      </c>
      <c r="F47" s="6">
        <f>IFERROR(VLOOKUP(E47,'A-Specific'!$F$8:$G$11,2,FALSE),0)</f>
        <v/>
      </c>
      <c r="G47" s="6">
        <f>'I-Features'!M47</f>
        <v/>
      </c>
      <c r="H47" s="6">
        <f>IF(G47="Done",1,0)</f>
        <v/>
      </c>
      <c r="I47" s="6">
        <f>IF(G47="In Progress",1,0)</f>
        <v/>
      </c>
    </row>
    <row r="48">
      <c r="A48" s="1" t="n"/>
      <c r="C48" s="6">
        <f>'I-Features'!C48</f>
        <v/>
      </c>
      <c r="D48" s="6">
        <f>'I-Features'!H48</f>
        <v/>
      </c>
      <c r="E48" s="6">
        <f>'I-Features'!J48</f>
        <v/>
      </c>
      <c r="F48" s="6">
        <f>IFERROR(VLOOKUP(E48,'A-Specific'!$F$8:$G$11,2,FALSE),0)</f>
        <v/>
      </c>
      <c r="G48" s="6">
        <f>'I-Features'!M48</f>
        <v/>
      </c>
      <c r="H48" s="6">
        <f>IF(G48="Done",1,0)</f>
        <v/>
      </c>
      <c r="I48" s="6">
        <f>IF(G48="In Progress",1,0)</f>
        <v/>
      </c>
    </row>
    <row r="49">
      <c r="A49" s="1" t="n"/>
      <c r="C49" s="6">
        <f>'I-Features'!C49</f>
        <v/>
      </c>
      <c r="D49" s="6">
        <f>'I-Features'!H49</f>
        <v/>
      </c>
      <c r="E49" s="6">
        <f>'I-Features'!J49</f>
        <v/>
      </c>
      <c r="F49" s="6">
        <f>IFERROR(VLOOKUP(E49,'A-Specific'!$F$8:$G$11,2,FALSE),0)</f>
        <v/>
      </c>
      <c r="G49" s="6">
        <f>'I-Features'!M49</f>
        <v/>
      </c>
      <c r="H49" s="6">
        <f>IF(G49="Done",1,0)</f>
        <v/>
      </c>
      <c r="I49" s="6">
        <f>IF(G49="In Progress",1,0)</f>
        <v/>
      </c>
    </row>
    <row r="50">
      <c r="A50" s="1" t="n"/>
      <c r="C50" s="6">
        <f>'I-Features'!C50</f>
        <v/>
      </c>
      <c r="D50" s="6">
        <f>'I-Features'!H50</f>
        <v/>
      </c>
      <c r="E50" s="6">
        <f>'I-Features'!J50</f>
        <v/>
      </c>
      <c r="F50" s="6">
        <f>IFERROR(VLOOKUP(E50,'A-Specific'!$F$8:$G$11,2,FALSE),0)</f>
        <v/>
      </c>
      <c r="G50" s="6">
        <f>'I-Features'!M50</f>
        <v/>
      </c>
      <c r="H50" s="6">
        <f>IF(G50="Done",1,0)</f>
        <v/>
      </c>
      <c r="I50" s="6">
        <f>IF(G50="In Progress",1,0)</f>
        <v/>
      </c>
    </row>
    <row r="51">
      <c r="A51" s="1" t="n"/>
      <c r="C51" s="6">
        <f>'I-Features'!C51</f>
        <v/>
      </c>
      <c r="D51" s="6">
        <f>'I-Features'!H51</f>
        <v/>
      </c>
      <c r="E51" s="6">
        <f>'I-Features'!J51</f>
        <v/>
      </c>
      <c r="F51" s="6">
        <f>IFERROR(VLOOKUP(E51,'A-Specific'!$F$8:$G$11,2,FALSE),0)</f>
        <v/>
      </c>
      <c r="G51" s="6">
        <f>'I-Features'!M51</f>
        <v/>
      </c>
      <c r="H51" s="6">
        <f>IF(G51="Done",1,0)</f>
        <v/>
      </c>
      <c r="I51" s="6">
        <f>IF(G51="In Progress",1,0)</f>
        <v/>
      </c>
    </row>
    <row r="52">
      <c r="A52" s="1" t="n"/>
      <c r="C52" s="6">
        <f>'I-Features'!C52</f>
        <v/>
      </c>
      <c r="D52" s="6">
        <f>'I-Features'!H52</f>
        <v/>
      </c>
      <c r="E52" s="6">
        <f>'I-Features'!J52</f>
        <v/>
      </c>
      <c r="F52" s="6">
        <f>IFERROR(VLOOKUP(E52,'A-Specific'!$F$8:$G$11,2,FALSE),0)</f>
        <v/>
      </c>
      <c r="G52" s="6">
        <f>'I-Features'!M52</f>
        <v/>
      </c>
      <c r="H52" s="6">
        <f>IF(G52="Done",1,0)</f>
        <v/>
      </c>
      <c r="I52" s="6">
        <f>IF(G52="In Progress",1,0)</f>
        <v/>
      </c>
    </row>
    <row r="53">
      <c r="A53" s="1" t="n"/>
      <c r="C53" s="6">
        <f>'I-Features'!C53</f>
        <v/>
      </c>
      <c r="D53" s="6">
        <f>'I-Features'!H53</f>
        <v/>
      </c>
      <c r="E53" s="6">
        <f>'I-Features'!J53</f>
        <v/>
      </c>
      <c r="F53" s="6">
        <f>IFERROR(VLOOKUP(E53,'A-Specific'!$F$8:$G$11,2,FALSE),0)</f>
        <v/>
      </c>
      <c r="G53" s="6">
        <f>'I-Features'!M53</f>
        <v/>
      </c>
      <c r="H53" s="6">
        <f>IF(G53="Done",1,0)</f>
        <v/>
      </c>
      <c r="I53" s="6">
        <f>IF(G53="In Progress",1,0)</f>
        <v/>
      </c>
    </row>
    <row r="54">
      <c r="A54" s="1" t="n"/>
      <c r="C54" s="6">
        <f>'I-Features'!C54</f>
        <v/>
      </c>
      <c r="D54" s="6">
        <f>'I-Features'!H54</f>
        <v/>
      </c>
      <c r="E54" s="6">
        <f>'I-Features'!J54</f>
        <v/>
      </c>
      <c r="F54" s="6">
        <f>IFERROR(VLOOKUP(E54,'A-Specific'!$F$8:$G$11,2,FALSE),0)</f>
        <v/>
      </c>
      <c r="G54" s="6">
        <f>'I-Features'!M54</f>
        <v/>
      </c>
      <c r="H54" s="6">
        <f>IF(G54="Done",1,0)</f>
        <v/>
      </c>
      <c r="I54" s="6">
        <f>IF(G54="In Progress",1,0)</f>
        <v/>
      </c>
    </row>
    <row r="55">
      <c r="A55" s="1" t="n"/>
      <c r="C55" s="6">
        <f>'I-Features'!C55</f>
        <v/>
      </c>
      <c r="D55" s="6">
        <f>'I-Features'!H55</f>
        <v/>
      </c>
      <c r="E55" s="6">
        <f>'I-Features'!J55</f>
        <v/>
      </c>
      <c r="F55" s="6">
        <f>IFERROR(VLOOKUP(E55,'A-Specific'!$F$8:$G$11,2,FALSE),0)</f>
        <v/>
      </c>
      <c r="G55" s="6">
        <f>'I-Features'!M55</f>
        <v/>
      </c>
      <c r="H55" s="6">
        <f>IF(G55="Done",1,0)</f>
        <v/>
      </c>
      <c r="I55" s="6">
        <f>IF(G55="In Progress",1,0)</f>
        <v/>
      </c>
    </row>
    <row r="56">
      <c r="A56" s="1" t="n"/>
      <c r="C56" s="6">
        <f>'I-Features'!C56</f>
        <v/>
      </c>
      <c r="D56" s="6">
        <f>'I-Features'!H56</f>
        <v/>
      </c>
      <c r="E56" s="6">
        <f>'I-Features'!J56</f>
        <v/>
      </c>
      <c r="F56" s="6">
        <f>IFERROR(VLOOKUP(E56,'A-Specific'!$F$8:$G$11,2,FALSE),0)</f>
        <v/>
      </c>
      <c r="G56" s="6">
        <f>'I-Features'!M56</f>
        <v/>
      </c>
      <c r="H56" s="6">
        <f>IF(G56="Done",1,0)</f>
        <v/>
      </c>
      <c r="I56" s="6">
        <f>IF(G56="In Progress",1,0)</f>
        <v/>
      </c>
    </row>
    <row r="57">
      <c r="A57" s="1" t="n"/>
      <c r="C57" s="6">
        <f>'I-Features'!C57</f>
        <v/>
      </c>
      <c r="D57" s="6">
        <f>'I-Features'!H57</f>
        <v/>
      </c>
      <c r="E57" s="6">
        <f>'I-Features'!J57</f>
        <v/>
      </c>
      <c r="F57" s="6">
        <f>IFERROR(VLOOKUP(E57,'A-Specific'!$F$8:$G$11,2,FALSE),0)</f>
        <v/>
      </c>
      <c r="G57" s="6">
        <f>'I-Features'!M57</f>
        <v/>
      </c>
      <c r="H57" s="6">
        <f>IF(G57="Done",1,0)</f>
        <v/>
      </c>
      <c r="I57" s="6">
        <f>IF(G57="In Progress",1,0)</f>
        <v/>
      </c>
    </row>
    <row r="58">
      <c r="A58" s="1" t="n"/>
      <c r="C58" s="6">
        <f>'I-Features'!C58</f>
        <v/>
      </c>
      <c r="D58" s="6">
        <f>'I-Features'!H58</f>
        <v/>
      </c>
      <c r="E58" s="6">
        <f>'I-Features'!J58</f>
        <v/>
      </c>
      <c r="F58" s="6">
        <f>IFERROR(VLOOKUP(E58,'A-Specific'!$F$8:$G$11,2,FALSE),0)</f>
        <v/>
      </c>
      <c r="G58" s="6">
        <f>'I-Features'!M58</f>
        <v/>
      </c>
      <c r="H58" s="6">
        <f>IF(G58="Done",1,0)</f>
        <v/>
      </c>
      <c r="I58" s="6">
        <f>IF(G58="In Progress",1,0)</f>
        <v/>
      </c>
    </row>
    <row r="59">
      <c r="A59" s="1" t="n"/>
      <c r="C59" s="6">
        <f>'I-Features'!C59</f>
        <v/>
      </c>
      <c r="D59" s="6">
        <f>'I-Features'!H59</f>
        <v/>
      </c>
      <c r="E59" s="6">
        <f>'I-Features'!J59</f>
        <v/>
      </c>
      <c r="F59" s="6">
        <f>IFERROR(VLOOKUP(E59,'A-Specific'!$F$8:$G$11,2,FALSE),0)</f>
        <v/>
      </c>
      <c r="G59" s="6">
        <f>'I-Features'!M59</f>
        <v/>
      </c>
      <c r="H59" s="6">
        <f>IF(G59="Done",1,0)</f>
        <v/>
      </c>
      <c r="I59" s="6">
        <f>IF(G59="In Progress",1,0)</f>
        <v/>
      </c>
    </row>
    <row r="60">
      <c r="A60" s="1" t="n"/>
      <c r="C60" s="6">
        <f>'I-Features'!C60</f>
        <v/>
      </c>
      <c r="D60" s="6">
        <f>'I-Features'!H60</f>
        <v/>
      </c>
      <c r="E60" s="6">
        <f>'I-Features'!J60</f>
        <v/>
      </c>
      <c r="F60" s="6">
        <f>IFERROR(VLOOKUP(E60,'A-Specific'!$F$8:$G$11,2,FALSE),0)</f>
        <v/>
      </c>
      <c r="G60" s="6">
        <f>'I-Features'!M60</f>
        <v/>
      </c>
      <c r="H60" s="6">
        <f>IF(G60="Done",1,0)</f>
        <v/>
      </c>
      <c r="I60" s="6">
        <f>IF(G60="In Progress",1,0)</f>
        <v/>
      </c>
    </row>
    <row r="61">
      <c r="A61" s="1" t="n"/>
      <c r="C61" s="6">
        <f>'I-Features'!C61</f>
        <v/>
      </c>
      <c r="D61" s="6">
        <f>'I-Features'!H61</f>
        <v/>
      </c>
      <c r="E61" s="6">
        <f>'I-Features'!J61</f>
        <v/>
      </c>
      <c r="F61" s="6">
        <f>IFERROR(VLOOKUP(E61,'A-Specific'!$F$8:$G$11,2,FALSE),0)</f>
        <v/>
      </c>
      <c r="G61" s="6">
        <f>'I-Features'!M61</f>
        <v/>
      </c>
      <c r="H61" s="6">
        <f>IF(G61="Done",1,0)</f>
        <v/>
      </c>
      <c r="I61" s="6">
        <f>IF(G61="In Progress",1,0)</f>
        <v/>
      </c>
    </row>
    <row r="62">
      <c r="A62" s="1" t="n"/>
      <c r="C62" s="6">
        <f>'I-Features'!C62</f>
        <v/>
      </c>
      <c r="D62" s="6">
        <f>'I-Features'!H62</f>
        <v/>
      </c>
      <c r="E62" s="6">
        <f>'I-Features'!J62</f>
        <v/>
      </c>
      <c r="F62" s="6">
        <f>IFERROR(VLOOKUP(E62,'A-Specific'!$F$8:$G$11,2,FALSE),0)</f>
        <v/>
      </c>
      <c r="G62" s="6">
        <f>'I-Features'!M62</f>
        <v/>
      </c>
      <c r="H62" s="6">
        <f>IF(G62="Done",1,0)</f>
        <v/>
      </c>
      <c r="I62" s="6">
        <f>IF(G62="In Progress",1,0)</f>
        <v/>
      </c>
    </row>
    <row r="63">
      <c r="A63" s="1" t="n"/>
      <c r="C63" s="6">
        <f>'I-Features'!C63</f>
        <v/>
      </c>
      <c r="D63" s="6">
        <f>'I-Features'!H63</f>
        <v/>
      </c>
      <c r="E63" s="6">
        <f>'I-Features'!J63</f>
        <v/>
      </c>
      <c r="F63" s="6">
        <f>IFERROR(VLOOKUP(E63,'A-Specific'!$F$8:$G$11,2,FALSE),0)</f>
        <v/>
      </c>
      <c r="G63" s="6">
        <f>'I-Features'!M63</f>
        <v/>
      </c>
      <c r="H63" s="6">
        <f>IF(G63="Done",1,0)</f>
        <v/>
      </c>
      <c r="I63" s="6">
        <f>IF(G63="In Progress",1,0)</f>
        <v/>
      </c>
    </row>
    <row r="64">
      <c r="A64" s="1" t="n"/>
      <c r="C64" s="6">
        <f>'I-Features'!C64</f>
        <v/>
      </c>
      <c r="D64" s="6">
        <f>'I-Features'!H64</f>
        <v/>
      </c>
      <c r="E64" s="6">
        <f>'I-Features'!J64</f>
        <v/>
      </c>
      <c r="F64" s="6">
        <f>IFERROR(VLOOKUP(E64,'A-Specific'!$F$8:$G$11,2,FALSE),0)</f>
        <v/>
      </c>
      <c r="G64" s="6">
        <f>'I-Features'!M64</f>
        <v/>
      </c>
      <c r="H64" s="6">
        <f>IF(G64="Done",1,0)</f>
        <v/>
      </c>
      <c r="I64" s="6">
        <f>IF(G64="In Progress",1,0)</f>
        <v/>
      </c>
    </row>
    <row r="65">
      <c r="A65" s="1" t="n"/>
      <c r="C65" s="6">
        <f>'I-Features'!C65</f>
        <v/>
      </c>
      <c r="D65" s="6">
        <f>'I-Features'!H65</f>
        <v/>
      </c>
      <c r="E65" s="6">
        <f>'I-Features'!J65</f>
        <v/>
      </c>
      <c r="F65" s="6">
        <f>IFERROR(VLOOKUP(E65,'A-Specific'!$F$8:$G$11,2,FALSE),0)</f>
        <v/>
      </c>
      <c r="G65" s="6">
        <f>'I-Features'!M65</f>
        <v/>
      </c>
      <c r="H65" s="6">
        <f>IF(G65="Done",1,0)</f>
        <v/>
      </c>
      <c r="I65" s="6">
        <f>IF(G65="In Progress",1,0)</f>
        <v/>
      </c>
    </row>
    <row r="66">
      <c r="A66" s="1" t="n"/>
      <c r="C66" s="6">
        <f>'I-Features'!C66</f>
        <v/>
      </c>
      <c r="D66" s="6">
        <f>'I-Features'!H66</f>
        <v/>
      </c>
      <c r="E66" s="6">
        <f>'I-Features'!J66</f>
        <v/>
      </c>
      <c r="F66" s="6">
        <f>IFERROR(VLOOKUP(E66,'A-Specific'!$F$8:$G$11,2,FALSE),0)</f>
        <v/>
      </c>
      <c r="G66" s="6">
        <f>'I-Features'!M66</f>
        <v/>
      </c>
      <c r="H66" s="6">
        <f>IF(G66="Done",1,0)</f>
        <v/>
      </c>
      <c r="I66" s="6">
        <f>IF(G66="In Progress",1,0)</f>
        <v/>
      </c>
    </row>
    <row r="67">
      <c r="A67" s="1" t="n"/>
      <c r="C67" s="6">
        <f>'I-Features'!C67</f>
        <v/>
      </c>
      <c r="D67" s="6">
        <f>'I-Features'!H67</f>
        <v/>
      </c>
      <c r="E67" s="6">
        <f>'I-Features'!J67</f>
        <v/>
      </c>
      <c r="F67" s="6">
        <f>IFERROR(VLOOKUP(E67,'A-Specific'!$F$8:$G$11,2,FALSE),0)</f>
        <v/>
      </c>
      <c r="G67" s="6">
        <f>'I-Features'!M67</f>
        <v/>
      </c>
      <c r="H67" s="6">
        <f>IF(G67="Done",1,0)</f>
        <v/>
      </c>
      <c r="I67" s="6">
        <f>IF(G67="In Progress",1,0)</f>
        <v/>
      </c>
    </row>
    <row r="68">
      <c r="A68" s="1" t="n"/>
      <c r="C68" s="6">
        <f>'I-Features'!C68</f>
        <v/>
      </c>
      <c r="D68" s="6">
        <f>'I-Features'!H68</f>
        <v/>
      </c>
      <c r="E68" s="6">
        <f>'I-Features'!J68</f>
        <v/>
      </c>
      <c r="F68" s="6">
        <f>IFERROR(VLOOKUP(E68,'A-Specific'!$F$8:$G$11,2,FALSE),0)</f>
        <v/>
      </c>
      <c r="G68" s="6">
        <f>'I-Features'!M68</f>
        <v/>
      </c>
      <c r="H68" s="6">
        <f>IF(G68="Done",1,0)</f>
        <v/>
      </c>
      <c r="I68" s="6">
        <f>IF(G68="In Progress",1,0)</f>
        <v/>
      </c>
    </row>
    <row r="69">
      <c r="A69" s="1" t="n"/>
      <c r="C69" s="6">
        <f>'I-Features'!C69</f>
        <v/>
      </c>
      <c r="D69" s="6">
        <f>'I-Features'!H69</f>
        <v/>
      </c>
      <c r="E69" s="6">
        <f>'I-Features'!J69</f>
        <v/>
      </c>
      <c r="F69" s="6">
        <f>IFERROR(VLOOKUP(E69,'A-Specific'!$F$8:$G$11,2,FALSE),0)</f>
        <v/>
      </c>
      <c r="G69" s="6">
        <f>'I-Features'!M69</f>
        <v/>
      </c>
      <c r="H69" s="6">
        <f>IF(G69="Done",1,0)</f>
        <v/>
      </c>
      <c r="I69" s="6">
        <f>IF(G69="In Progress",1,0)</f>
        <v/>
      </c>
    </row>
    <row r="70">
      <c r="A70" s="1" t="n"/>
      <c r="C70" s="6">
        <f>'I-Features'!C70</f>
        <v/>
      </c>
      <c r="D70" s="6">
        <f>'I-Features'!H70</f>
        <v/>
      </c>
      <c r="E70" s="6">
        <f>'I-Features'!J70</f>
        <v/>
      </c>
      <c r="F70" s="6">
        <f>IFERROR(VLOOKUP(E70,'A-Specific'!$F$8:$G$11,2,FALSE),0)</f>
        <v/>
      </c>
      <c r="G70" s="6">
        <f>'I-Features'!M70</f>
        <v/>
      </c>
      <c r="H70" s="6">
        <f>IF(G70="Done",1,0)</f>
        <v/>
      </c>
      <c r="I70" s="6">
        <f>IF(G70="In Progress",1,0)</f>
        <v/>
      </c>
    </row>
    <row r="71">
      <c r="A71" s="1" t="n"/>
      <c r="C71" s="6">
        <f>'I-Features'!C71</f>
        <v/>
      </c>
      <c r="D71" s="6">
        <f>'I-Features'!H71</f>
        <v/>
      </c>
      <c r="E71" s="6">
        <f>'I-Features'!J71</f>
        <v/>
      </c>
      <c r="F71" s="6">
        <f>IFERROR(VLOOKUP(E71,'A-Specific'!$F$8:$G$11,2,FALSE),0)</f>
        <v/>
      </c>
      <c r="G71" s="6">
        <f>'I-Features'!M71</f>
        <v/>
      </c>
      <c r="H71" s="6">
        <f>IF(G71="Done",1,0)</f>
        <v/>
      </c>
      <c r="I71" s="6">
        <f>IF(G71="In Progress",1,0)</f>
        <v/>
      </c>
    </row>
    <row r="72">
      <c r="A72" s="1" t="n"/>
      <c r="C72" s="6">
        <f>'I-Features'!C72</f>
        <v/>
      </c>
      <c r="D72" s="6">
        <f>'I-Features'!H72</f>
        <v/>
      </c>
      <c r="E72" s="6">
        <f>'I-Features'!J72</f>
        <v/>
      </c>
      <c r="F72" s="6">
        <f>IFERROR(VLOOKUP(E72,'A-Specific'!$F$8:$G$11,2,FALSE),0)</f>
        <v/>
      </c>
      <c r="G72" s="6">
        <f>'I-Features'!M72</f>
        <v/>
      </c>
      <c r="H72" s="6">
        <f>IF(G72="Done",1,0)</f>
        <v/>
      </c>
      <c r="I72" s="6">
        <f>IF(G72="In Progress",1,0)</f>
        <v/>
      </c>
    </row>
    <row r="73">
      <c r="A73" s="1" t="n"/>
      <c r="C73" s="6">
        <f>'I-Features'!C73</f>
        <v/>
      </c>
      <c r="D73" s="6">
        <f>'I-Features'!H73</f>
        <v/>
      </c>
      <c r="E73" s="6">
        <f>'I-Features'!J73</f>
        <v/>
      </c>
      <c r="F73" s="6">
        <f>IFERROR(VLOOKUP(E73,'A-Specific'!$F$8:$G$11,2,FALSE),0)</f>
        <v/>
      </c>
      <c r="G73" s="6">
        <f>'I-Features'!M73</f>
        <v/>
      </c>
      <c r="H73" s="6">
        <f>IF(G73="Done",1,0)</f>
        <v/>
      </c>
      <c r="I73" s="6">
        <f>IF(G73="In Progress",1,0)</f>
        <v/>
      </c>
    </row>
    <row r="74">
      <c r="A74" s="1" t="n"/>
      <c r="C74" s="6">
        <f>'I-Features'!C74</f>
        <v/>
      </c>
      <c r="D74" s="6">
        <f>'I-Features'!H74</f>
        <v/>
      </c>
      <c r="E74" s="6">
        <f>'I-Features'!J74</f>
        <v/>
      </c>
      <c r="F74" s="6">
        <f>IFERROR(VLOOKUP(E74,'A-Specific'!$F$8:$G$11,2,FALSE),0)</f>
        <v/>
      </c>
      <c r="G74" s="6">
        <f>'I-Features'!M74</f>
        <v/>
      </c>
      <c r="H74" s="6">
        <f>IF(G74="Done",1,0)</f>
        <v/>
      </c>
      <c r="I74" s="6">
        <f>IF(G74="In Progress",1,0)</f>
        <v/>
      </c>
    </row>
    <row r="75">
      <c r="A75" s="1" t="n"/>
      <c r="C75" s="6">
        <f>'I-Features'!C75</f>
        <v/>
      </c>
      <c r="D75" s="6">
        <f>'I-Features'!H75</f>
        <v/>
      </c>
      <c r="E75" s="6">
        <f>'I-Features'!J75</f>
        <v/>
      </c>
      <c r="F75" s="6">
        <f>IFERROR(VLOOKUP(E75,'A-Specific'!$F$8:$G$11,2,FALSE),0)</f>
        <v/>
      </c>
      <c r="G75" s="6">
        <f>'I-Features'!M75</f>
        <v/>
      </c>
      <c r="H75" s="6">
        <f>IF(G75="Done",1,0)</f>
        <v/>
      </c>
      <c r="I75" s="6">
        <f>IF(G75="In Progress",1,0)</f>
        <v/>
      </c>
    </row>
    <row r="76">
      <c r="A76" s="1" t="n"/>
      <c r="C76" s="6">
        <f>'I-Features'!C76</f>
        <v/>
      </c>
      <c r="D76" s="6">
        <f>'I-Features'!H76</f>
        <v/>
      </c>
      <c r="E76" s="6">
        <f>'I-Features'!J76</f>
        <v/>
      </c>
      <c r="F76" s="6">
        <f>IFERROR(VLOOKUP(E76,'A-Specific'!$F$8:$G$11,2,FALSE),0)</f>
        <v/>
      </c>
      <c r="G76" s="6">
        <f>'I-Features'!M76</f>
        <v/>
      </c>
      <c r="H76" s="6">
        <f>IF(G76="Done",1,0)</f>
        <v/>
      </c>
      <c r="I76" s="6">
        <f>IF(G76="In Progress",1,0)</f>
        <v/>
      </c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</sheetData>
  <conditionalFormatting sqref="A3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FCC"/>
    <outlinePr summaryBelow="1" summaryRight="1"/>
    <pageSetUpPr/>
  </sheetPr>
  <dimension ref="A1:N19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9" customWidth="1" min="1" max="1"/>
    <col width="2.66" customWidth="1" min="2" max="2"/>
    <col width="12" customWidth="1" min="3" max="3"/>
    <col width="14" customWidth="1" min="4" max="4"/>
    <col width="32" customWidth="1" min="5" max="5"/>
    <col width="50" customWidth="1" min="6" max="6"/>
    <col width="50" customWidth="1" min="7" max="7"/>
    <col width="10" customWidth="1" min="8" max="8"/>
    <col width="9" customWidth="1" min="9" max="9"/>
    <col width="8" customWidth="1" min="10" max="10"/>
    <col width="18" customWidth="1" min="11" max="11"/>
    <col width="10" customWidth="1" min="12" max="12"/>
    <col width="14" customWidth="1" min="13" max="13"/>
    <col width="40" customWidth="1" min="14" max="14"/>
  </cols>
  <sheetData>
    <row r="1">
      <c r="A1" s="1" t="n"/>
      <c r="C1" s="2">
        <f>MID(CELL("filename",A1),FIND("[",CELL("filename",A1))+1,FIND("]",CELL("filename",A1))-FIND("[",CELL("filename",A1))-1)&amp;" - "&amp;MID(CELL("filename",A1),FIND("]",CELL("filename",A1))+1,255)</f>
        <v/>
      </c>
    </row>
    <row r="2">
      <c r="A2" s="1" t="n"/>
    </row>
    <row r="3" ht="32" customHeight="1">
      <c r="A3" s="3">
        <f>IF(COUNTA(C8:C200)=69,"OK","ERROR")</f>
        <v/>
      </c>
      <c r="C3" s="4" t="inlineStr">
        <is>
          <t>I-Features — Master Feature List (Inputs)</t>
        </is>
      </c>
    </row>
    <row r="4">
      <c r="A4" s="1" t="n"/>
    </row>
    <row r="5">
      <c r="A5" s="1" t="n"/>
    </row>
    <row r="6">
      <c r="A6" s="1" t="n"/>
    </row>
    <row r="7">
      <c r="A7" s="1" t="n"/>
      <c r="C7" s="5" t="inlineStr">
        <is>
          <t>Feature_ID</t>
        </is>
      </c>
      <c r="D7" s="5" t="inlineStr">
        <is>
          <t>Category</t>
        </is>
      </c>
      <c r="E7" s="5" t="inlineStr">
        <is>
          <t>Feature_Name</t>
        </is>
      </c>
      <c r="F7" s="5" t="inlineStr">
        <is>
          <t>User_Story</t>
        </is>
      </c>
      <c r="G7" s="5" t="inlineStr">
        <is>
          <t>Acceptance_Criteria</t>
        </is>
      </c>
      <c r="H7" s="5" t="inlineStr">
        <is>
          <t>Phase</t>
        </is>
      </c>
      <c r="I7" s="5" t="inlineStr">
        <is>
          <t>Priority</t>
        </is>
      </c>
      <c r="J7" s="5" t="inlineStr">
        <is>
          <t>Effort</t>
        </is>
      </c>
      <c r="K7" s="5" t="inlineStr">
        <is>
          <t>Dependencies</t>
        </is>
      </c>
      <c r="L7" s="5" t="inlineStr">
        <is>
          <t>Owner</t>
        </is>
      </c>
      <c r="M7" s="5" t="inlineStr">
        <is>
          <t>Status</t>
        </is>
      </c>
      <c r="N7" s="5" t="inlineStr">
        <is>
          <t>Notes</t>
        </is>
      </c>
    </row>
    <row r="8" ht="48" customHeight="1">
      <c r="A8" s="1" t="n"/>
      <c r="C8" s="7" t="inlineStr">
        <is>
          <t>AUTH-01</t>
        </is>
      </c>
      <c r="D8" s="7" t="inlineStr">
        <is>
          <t>Auth</t>
        </is>
      </c>
      <c r="E8" s="7" t="inlineStr">
        <is>
          <t>Email magic-link login</t>
        </is>
      </c>
      <c r="F8" s="7" t="inlineStr">
        <is>
          <t>As a contractor I want to log in with just my email so I don't manage passwords.</t>
        </is>
      </c>
      <c r="G8" s="7" t="inlineStr">
        <is>
          <t>Magic link emailed; click signs in; link expires 15 min; rate limited per email/IP.</t>
        </is>
      </c>
      <c r="H8" s="7" t="inlineStr">
        <is>
          <t>MVP</t>
        </is>
      </c>
      <c r="I8" s="7" t="inlineStr">
        <is>
          <t>P0</t>
        </is>
      </c>
      <c r="J8" s="7" t="inlineStr">
        <is>
          <t>M</t>
        </is>
      </c>
      <c r="K8" s="7" t="inlineStr"/>
      <c r="L8" s="7" t="inlineStr">
        <is>
          <t>Brendan</t>
        </is>
      </c>
      <c r="M8" s="7" t="inlineStr">
        <is>
          <t>Not Started</t>
        </is>
      </c>
      <c r="N8" s="7" t="inlineStr">
        <is>
          <t>Auth.js + Resend</t>
        </is>
      </c>
    </row>
    <row r="9" ht="48" customHeight="1">
      <c r="A9" s="1" t="n"/>
      <c r="C9" s="7" t="inlineStr">
        <is>
          <t>AUTH-02</t>
        </is>
      </c>
      <c r="D9" s="7" t="inlineStr">
        <is>
          <t>Auth</t>
        </is>
      </c>
      <c r="E9" s="7" t="inlineStr">
        <is>
          <t>Single-user workspace</t>
        </is>
      </c>
      <c r="F9" s="7" t="inlineStr">
        <is>
          <t>Each user gets an isolated workspace; data scoped by user_id.</t>
        </is>
      </c>
      <c r="G9" s="7" t="inlineStr">
        <is>
          <t>All queries filter by session userId; Playwright test proves no cross-user read.</t>
        </is>
      </c>
      <c r="H9" s="7" t="inlineStr">
        <is>
          <t>MVP</t>
        </is>
      </c>
      <c r="I9" s="7" t="inlineStr">
        <is>
          <t>P0</t>
        </is>
      </c>
      <c r="J9" s="7" t="inlineStr">
        <is>
          <t>S</t>
        </is>
      </c>
      <c r="K9" s="7" t="inlineStr">
        <is>
          <t>AUTH-01</t>
        </is>
      </c>
      <c r="L9" s="7" t="inlineStr">
        <is>
          <t>Brendan</t>
        </is>
      </c>
      <c r="M9" s="7" t="inlineStr">
        <is>
          <t>Not Started</t>
        </is>
      </c>
      <c r="N9" s="7" t="inlineStr">
        <is>
          <t>App-level scoping (RLS-lite); revisit when Phase 4 multi-user added.</t>
        </is>
      </c>
    </row>
    <row r="10" ht="48" customHeight="1">
      <c r="A10" s="1" t="n"/>
      <c r="C10" s="7" t="inlineStr">
        <is>
          <t>PROJ-01</t>
        </is>
      </c>
      <c r="D10" s="7" t="inlineStr">
        <is>
          <t>Projects</t>
        </is>
      </c>
      <c r="E10" s="7" t="inlineStr">
        <is>
          <t>Create/edit project</t>
        </is>
      </c>
      <c r="F10" s="7" t="inlineStr">
        <is>
          <t>Create a project with name, status, dates.</t>
        </is>
      </c>
      <c r="G10" s="7" t="inlineStr">
        <is>
          <t>CRUD endpoints + list view + edit form; soft-delete supported.</t>
        </is>
      </c>
      <c r="H10" s="7" t="inlineStr">
        <is>
          <t>MVP</t>
        </is>
      </c>
      <c r="I10" s="7" t="inlineStr">
        <is>
          <t>P0</t>
        </is>
      </c>
      <c r="J10" s="7" t="inlineStr">
        <is>
          <t>S</t>
        </is>
      </c>
      <c r="K10" s="7" t="inlineStr">
        <is>
          <t>AUTH-02</t>
        </is>
      </c>
      <c r="L10" s="7" t="inlineStr">
        <is>
          <t>Brendan</t>
        </is>
      </c>
      <c r="M10" s="7" t="inlineStr">
        <is>
          <t>Not Started</t>
        </is>
      </c>
      <c r="N10" s="7" t="inlineStr"/>
    </row>
    <row r="11" ht="48" customHeight="1">
      <c r="A11" s="1" t="n"/>
      <c r="C11" s="7" t="inlineStr">
        <is>
          <t>PROJ-02</t>
        </is>
      </c>
      <c r="D11" s="7" t="inlineStr">
        <is>
          <t>Projects</t>
        </is>
      </c>
      <c r="E11" s="7" t="inlineStr">
        <is>
          <t>Client info per project</t>
        </is>
      </c>
      <c r="F11" s="7" t="inlineStr">
        <is>
          <t>Capture client name, phone, email per project.</t>
        </is>
      </c>
      <c r="G11" s="7" t="inlineStr">
        <is>
          <t>Stored on project; auto-populated into proposal PDF.</t>
        </is>
      </c>
      <c r="H11" s="7" t="inlineStr">
        <is>
          <t>MVP</t>
        </is>
      </c>
      <c r="I11" s="7" t="inlineStr">
        <is>
          <t>P0</t>
        </is>
      </c>
      <c r="J11" s="7" t="inlineStr">
        <is>
          <t>S</t>
        </is>
      </c>
      <c r="K11" s="7" t="inlineStr">
        <is>
          <t>PROJ-01</t>
        </is>
      </c>
      <c r="L11" s="7" t="inlineStr">
        <is>
          <t>Brendan</t>
        </is>
      </c>
      <c r="M11" s="7" t="inlineStr">
        <is>
          <t>Not Started</t>
        </is>
      </c>
      <c r="N11" s="7" t="inlineStr"/>
    </row>
    <row r="12" ht="48" customHeight="1">
      <c r="A12" s="1" t="n"/>
      <c r="C12" s="7" t="inlineStr">
        <is>
          <t>PROJ-03</t>
        </is>
      </c>
      <c r="D12" s="7" t="inlineStr">
        <is>
          <t>Projects</t>
        </is>
      </c>
      <c r="E12" s="7" t="inlineStr">
        <is>
          <t>Site address + photos</t>
        </is>
      </c>
      <c r="F12" s="7" t="inlineStr">
        <is>
          <t>Upload jobsite photos against a project for reference.</t>
        </is>
      </c>
      <c r="G12" s="7" t="inlineStr">
        <is>
          <t>Multi-upload, thumbnails, delete, EXIF preserved.</t>
        </is>
      </c>
      <c r="H12" s="7" t="inlineStr">
        <is>
          <t>MVP</t>
        </is>
      </c>
      <c r="I12" s="7" t="inlineStr">
        <is>
          <t>P0</t>
        </is>
      </c>
      <c r="J12" s="7" t="inlineStr">
        <is>
          <t>M</t>
        </is>
      </c>
      <c r="K12" s="7" t="inlineStr">
        <is>
          <t>PROJ-01</t>
        </is>
      </c>
      <c r="L12" s="7" t="inlineStr">
        <is>
          <t>Brendan</t>
        </is>
      </c>
      <c r="M12" s="7" t="inlineStr">
        <is>
          <t>Not Started</t>
        </is>
      </c>
      <c r="N12" s="7" t="inlineStr">
        <is>
          <t>Cloudflare R2 storage</t>
        </is>
      </c>
    </row>
    <row r="13" ht="48" customHeight="1">
      <c r="A13" s="1" t="n"/>
      <c r="C13" s="7" t="inlineStr">
        <is>
          <t>EST-01</t>
        </is>
      </c>
      <c r="D13" s="7" t="inlineStr">
        <is>
          <t>Estimation</t>
        </is>
      </c>
      <c r="E13" s="7" t="inlineStr">
        <is>
          <t>Sections / rooms</t>
        </is>
      </c>
      <c r="F13" s="7" t="inlineStr">
        <is>
          <t>Group line items into rooms or scope sections.</t>
        </is>
      </c>
      <c r="G13" s="7" t="inlineStr">
        <is>
          <t>Add / rename / delete / reorder sections per project.</t>
        </is>
      </c>
      <c r="H13" s="7" t="inlineStr">
        <is>
          <t>MVP</t>
        </is>
      </c>
      <c r="I13" s="7" t="inlineStr">
        <is>
          <t>P0</t>
        </is>
      </c>
      <c r="J13" s="7" t="inlineStr">
        <is>
          <t>S</t>
        </is>
      </c>
      <c r="K13" s="7" t="inlineStr">
        <is>
          <t>PROJ-01</t>
        </is>
      </c>
      <c r="L13" s="7" t="inlineStr">
        <is>
          <t>Brendan</t>
        </is>
      </c>
      <c r="M13" s="7" t="inlineStr">
        <is>
          <t>Not Started</t>
        </is>
      </c>
      <c r="N13" s="7" t="inlineStr"/>
    </row>
    <row r="14" ht="48" customHeight="1">
      <c r="A14" s="1" t="n"/>
      <c r="C14" s="7" t="inlineStr">
        <is>
          <t>EST-02</t>
        </is>
      </c>
      <c r="D14" s="7" t="inlineStr">
        <is>
          <t>Estimation</t>
        </is>
      </c>
      <c r="E14" s="7" t="inlineStr">
        <is>
          <t>Line items</t>
        </is>
      </c>
      <c r="F14" s="7" t="inlineStr">
        <is>
          <t>Add line items with qty, unit, labor hrs, labor rate, material $, markup %.</t>
        </is>
      </c>
      <c r="G14" s="7" t="inlineStr">
        <is>
          <t>Inline-editable table; numeric validation; persists order_index.</t>
        </is>
      </c>
      <c r="H14" s="7" t="inlineStr">
        <is>
          <t>MVP</t>
        </is>
      </c>
      <c r="I14" s="7" t="inlineStr">
        <is>
          <t>P0</t>
        </is>
      </c>
      <c r="J14" s="7" t="inlineStr">
        <is>
          <t>M</t>
        </is>
      </c>
      <c r="K14" s="7" t="inlineStr">
        <is>
          <t>EST-01</t>
        </is>
      </c>
      <c r="L14" s="7" t="inlineStr">
        <is>
          <t>Brendan</t>
        </is>
      </c>
      <c r="M14" s="7" t="inlineStr">
        <is>
          <t>Not Started</t>
        </is>
      </c>
      <c r="N14" s="7" t="inlineStr"/>
    </row>
    <row r="15" ht="48" customHeight="1">
      <c r="A15" s="1" t="n"/>
      <c r="C15" s="7" t="inlineStr">
        <is>
          <t>EST-03</t>
        </is>
      </c>
      <c r="D15" s="7" t="inlineStr">
        <is>
          <t>Estimation</t>
        </is>
      </c>
      <c r="E15" s="7" t="inlineStr">
        <is>
          <t>Calc engine</t>
        </is>
      </c>
      <c r="F15" s="7" t="inlineStr">
        <is>
          <t>Pure calc: subtotals → labor burden → markup → overhead → profit → tax → total.</t>
        </is>
      </c>
      <c r="G15" s="7" t="inlineStr">
        <is>
          <t>Vitest unit tests for every edge case (zero qty, 100% markup, rounding).</t>
        </is>
      </c>
      <c r="H15" s="7" t="inlineStr">
        <is>
          <t>MVP</t>
        </is>
      </c>
      <c r="I15" s="7" t="inlineStr">
        <is>
          <t>P0</t>
        </is>
      </c>
      <c r="J15" s="7" t="inlineStr">
        <is>
          <t>M</t>
        </is>
      </c>
      <c r="K15" s="7" t="inlineStr">
        <is>
          <t>EST-02</t>
        </is>
      </c>
      <c r="L15" s="7" t="inlineStr">
        <is>
          <t>Brendan</t>
        </is>
      </c>
      <c r="M15" s="7" t="inlineStr">
        <is>
          <t>Not Started</t>
        </is>
      </c>
      <c r="N15" s="7" t="inlineStr">
        <is>
          <t>lib/calc.ts — single source of truth</t>
        </is>
      </c>
    </row>
    <row r="16" ht="48" customHeight="1">
      <c r="A16" s="1" t="n"/>
      <c r="C16" s="7" t="inlineStr">
        <is>
          <t>EST-04</t>
        </is>
      </c>
      <c r="D16" s="7" t="inlineStr">
        <is>
          <t>Estimation</t>
        </is>
      </c>
      <c r="E16" s="7" t="inlineStr">
        <is>
          <t>Duplicate item / section</t>
        </is>
      </c>
      <c r="F16" s="7" t="inlineStr">
        <is>
          <t>One-click duplicate a line item or whole section.</t>
        </is>
      </c>
      <c r="G16" s="7" t="inlineStr">
        <is>
          <t>Works at item and section level; preserves order.</t>
        </is>
      </c>
      <c r="H16" s="7" t="inlineStr">
        <is>
          <t>MVP</t>
        </is>
      </c>
      <c r="I16" s="7" t="inlineStr">
        <is>
          <t>P0</t>
        </is>
      </c>
      <c r="J16" s="7" t="inlineStr">
        <is>
          <t>S</t>
        </is>
      </c>
      <c r="K16" s="7" t="inlineStr">
        <is>
          <t>EST-02</t>
        </is>
      </c>
      <c r="L16" s="7" t="inlineStr">
        <is>
          <t>Brendan</t>
        </is>
      </c>
      <c r="M16" s="7" t="inlineStr">
        <is>
          <t>Not Started</t>
        </is>
      </c>
      <c r="N16" s="7" t="inlineStr"/>
    </row>
    <row r="17" ht="48" customHeight="1">
      <c r="A17" s="1" t="n"/>
      <c r="C17" s="7" t="inlineStr">
        <is>
          <t>EST-05</t>
        </is>
      </c>
      <c r="D17" s="7" t="inlineStr">
        <is>
          <t>Estimation</t>
        </is>
      </c>
      <c r="E17" s="7" t="inlineStr">
        <is>
          <t>Reorder via drag</t>
        </is>
      </c>
      <c r="F17" s="7" t="inlineStr">
        <is>
          <t>Drag-reorder items and sections.</t>
        </is>
      </c>
      <c r="G17" s="7" t="inlineStr">
        <is>
          <t>Persists order_index to DB; works on touch.</t>
        </is>
      </c>
      <c r="H17" s="7" t="inlineStr">
        <is>
          <t>MVP</t>
        </is>
      </c>
      <c r="I17" s="7" t="inlineStr">
        <is>
          <t>P0</t>
        </is>
      </c>
      <c r="J17" s="7" t="inlineStr">
        <is>
          <t>S</t>
        </is>
      </c>
      <c r="K17" s="7" t="inlineStr">
        <is>
          <t>EST-02</t>
        </is>
      </c>
      <c r="L17" s="7" t="inlineStr">
        <is>
          <t>Brendan</t>
        </is>
      </c>
      <c r="M17" s="7" t="inlineStr">
        <is>
          <t>Not Started</t>
        </is>
      </c>
      <c r="N17" s="7" t="inlineStr">
        <is>
          <t>dnd-kit</t>
        </is>
      </c>
    </row>
    <row r="18" ht="48" customHeight="1">
      <c r="A18" s="1" t="n"/>
      <c r="C18" s="7" t="inlineStr">
        <is>
          <t>AI-01</t>
        </is>
      </c>
      <c r="D18" s="7" t="inlineStr">
        <is>
          <t>AI Capture</t>
        </is>
      </c>
      <c r="E18" s="7" t="inlineStr">
        <is>
          <t>Voice → line items</t>
        </is>
      </c>
      <c r="F18" s="7" t="inlineStr">
        <is>
          <t>Record voice memo of jobsite walk-through; AI proposes line items.</t>
        </is>
      </c>
      <c r="G18" s="7" t="inlineStr">
        <is>
          <t>60–120s clip → ≥1 mapped line item; flagged 'AI suggested' until confirmed.</t>
        </is>
      </c>
      <c r="H18" s="7" t="inlineStr">
        <is>
          <t>MVP</t>
        </is>
      </c>
      <c r="I18" s="7" t="inlineStr">
        <is>
          <t>P0</t>
        </is>
      </c>
      <c r="J18" s="7" t="inlineStr">
        <is>
          <t>L</t>
        </is>
      </c>
      <c r="K18" s="7" t="inlineStr">
        <is>
          <t>EST-02, CAT-01</t>
        </is>
      </c>
      <c r="L18" s="7" t="inlineStr">
        <is>
          <t>Brendan</t>
        </is>
      </c>
      <c r="M18" s="7" t="inlineStr">
        <is>
          <t>Not Started</t>
        </is>
      </c>
      <c r="N18" s="7" t="inlineStr">
        <is>
          <t>Whisper → GPT-4o structured output; golden-set regression test.</t>
        </is>
      </c>
    </row>
    <row r="19" ht="48" customHeight="1">
      <c r="A19" s="1" t="n"/>
      <c r="C19" s="7" t="inlineStr">
        <is>
          <t>AI-02</t>
        </is>
      </c>
      <c r="D19" s="7" t="inlineStr">
        <is>
          <t>AI Capture</t>
        </is>
      </c>
      <c r="E19" s="7" t="inlineStr">
        <is>
          <t>Photo → line items</t>
        </is>
      </c>
      <c r="F19" s="7" t="inlineStr">
        <is>
          <t>Take 1–10 photos; AI suggests line items based on visible scope.</t>
        </is>
      </c>
      <c r="G19" s="7" t="inlineStr">
        <is>
          <t>Each suggestion shows confidence + source photo; user confirms each.</t>
        </is>
      </c>
      <c r="H19" s="7" t="inlineStr">
        <is>
          <t>MVP</t>
        </is>
      </c>
      <c r="I19" s="7" t="inlineStr">
        <is>
          <t>P0</t>
        </is>
      </c>
      <c r="J19" s="7" t="inlineStr">
        <is>
          <t>L</t>
        </is>
      </c>
      <c r="K19" s="7" t="inlineStr">
        <is>
          <t>EST-02, CAT-01</t>
        </is>
      </c>
      <c r="L19" s="7" t="inlineStr">
        <is>
          <t>Brendan</t>
        </is>
      </c>
      <c r="M19" s="7" t="inlineStr">
        <is>
          <t>Not Started</t>
        </is>
      </c>
      <c r="N19" s="7" t="inlineStr">
        <is>
          <t>GPT-4o vision</t>
        </is>
      </c>
    </row>
    <row r="20" ht="48" customHeight="1">
      <c r="A20" s="1" t="n"/>
      <c r="C20" s="7" t="inlineStr">
        <is>
          <t>AI-03</t>
        </is>
      </c>
      <c r="D20" s="7" t="inlineStr">
        <is>
          <t>AI Capture</t>
        </is>
      </c>
      <c r="E20" s="7" t="inlineStr">
        <is>
          <t>Confirm UX (review-gate)</t>
        </is>
      </c>
      <c r="F20" s="7" t="inlineStr">
        <is>
          <t>Every AI item must be confirmed before included in a proposal.</t>
        </is>
      </c>
      <c r="G20" s="7" t="inlineStr">
        <is>
          <t>'AI Suggested' badge until tap; cannot send proposal with unconfirmed items.</t>
        </is>
      </c>
      <c r="H20" s="7" t="inlineStr">
        <is>
          <t>MVP</t>
        </is>
      </c>
      <c r="I20" s="7" t="inlineStr">
        <is>
          <t>P0</t>
        </is>
      </c>
      <c r="J20" s="7" t="inlineStr">
        <is>
          <t>M</t>
        </is>
      </c>
      <c r="K20" s="7" t="inlineStr">
        <is>
          <t>AI-01, AI-02</t>
        </is>
      </c>
      <c r="L20" s="7" t="inlineStr">
        <is>
          <t>Brendan</t>
        </is>
      </c>
      <c r="M20" s="7" t="inlineStr">
        <is>
          <t>Not Started</t>
        </is>
      </c>
      <c r="N20" s="7" t="inlineStr">
        <is>
          <t>UX-critical for trust + liability</t>
        </is>
      </c>
    </row>
    <row r="21" ht="48" customHeight="1">
      <c r="A21" s="1" t="n"/>
      <c r="C21" s="7" t="inlineStr">
        <is>
          <t>AI-04</t>
        </is>
      </c>
      <c r="D21" s="7" t="inlineStr">
        <is>
          <t>AI Capture</t>
        </is>
      </c>
      <c r="E21" s="7" t="inlineStr">
        <is>
          <t>Cost cap per project</t>
        </is>
      </c>
      <c r="F21" s="7" t="inlineStr">
        <is>
          <t>Prevent runaway AI spend per project / per user.</t>
        </is>
      </c>
      <c r="G21" s="7" t="inlineStr">
        <is>
          <t>Per-project token + $ cap; alert at 80%; hard block at 100%.</t>
        </is>
      </c>
      <c r="H21" s="7" t="inlineStr">
        <is>
          <t>MVP</t>
        </is>
      </c>
      <c r="I21" s="7" t="inlineStr">
        <is>
          <t>P0</t>
        </is>
      </c>
      <c r="J21" s="7" t="inlineStr">
        <is>
          <t>S</t>
        </is>
      </c>
      <c r="K21" s="7" t="inlineStr">
        <is>
          <t>AI-01</t>
        </is>
      </c>
      <c r="L21" s="7" t="inlineStr">
        <is>
          <t>Brendan</t>
        </is>
      </c>
      <c r="M21" s="7" t="inlineStr">
        <is>
          <t>Not Started</t>
        </is>
      </c>
      <c r="N21" s="7" t="inlineStr"/>
    </row>
    <row r="22" ht="48" customHeight="1">
      <c r="A22" s="1" t="n"/>
      <c r="C22" s="7" t="inlineStr">
        <is>
          <t>CAT-01</t>
        </is>
      </c>
      <c r="D22" s="7" t="inlineStr">
        <is>
          <t>Catalog</t>
        </is>
      </c>
      <c r="E22" s="7" t="inlineStr">
        <is>
          <t>Seeded default catalog (~300 items, 6 trades)</t>
        </is>
      </c>
      <c r="F22" s="7" t="inlineStr">
        <is>
          <t>Default library: carpentry, drywall, paint, electrical-rough, plumbing-rough, demo.</t>
        </is>
      </c>
      <c r="G22" s="7" t="inlineStr">
        <is>
          <t>JSON seed loads on first signup; user can override defaults.</t>
        </is>
      </c>
      <c r="H22" s="7" t="inlineStr">
        <is>
          <t>MVP</t>
        </is>
      </c>
      <c r="I22" s="7" t="inlineStr">
        <is>
          <t>P0</t>
        </is>
      </c>
      <c r="J22" s="7" t="inlineStr">
        <is>
          <t>M</t>
        </is>
      </c>
      <c r="K22" s="7" t="inlineStr"/>
      <c r="L22" s="7" t="inlineStr">
        <is>
          <t>Brendan</t>
        </is>
      </c>
      <c r="M22" s="7" t="inlineStr">
        <is>
          <t>Not Started</t>
        </is>
      </c>
      <c r="N22" s="7" t="inlineStr">
        <is>
          <t>Curate from public sources for prototype.</t>
        </is>
      </c>
    </row>
    <row r="23" ht="48" customHeight="1">
      <c r="A23" s="1" t="n"/>
      <c r="C23" s="7" t="inlineStr">
        <is>
          <t>CAT-02</t>
        </is>
      </c>
      <c r="D23" s="7" t="inlineStr">
        <is>
          <t>Catalog</t>
        </is>
      </c>
      <c r="E23" s="7" t="inlineStr">
        <is>
          <t>Custom catalog items</t>
        </is>
      </c>
      <c r="F23" s="7" t="inlineStr">
        <is>
          <t>Add / edit user-specific catalog items.</t>
        </is>
      </c>
      <c r="G23" s="7" t="inlineStr">
        <is>
          <t>Per-workspace catalog table; full CRUD.</t>
        </is>
      </c>
      <c r="H23" s="7" t="inlineStr">
        <is>
          <t>MVP</t>
        </is>
      </c>
      <c r="I23" s="7" t="inlineStr">
        <is>
          <t>P0</t>
        </is>
      </c>
      <c r="J23" s="7" t="inlineStr">
        <is>
          <t>S</t>
        </is>
      </c>
      <c r="K23" s="7" t="inlineStr">
        <is>
          <t>CAT-01</t>
        </is>
      </c>
      <c r="L23" s="7" t="inlineStr">
        <is>
          <t>Brendan</t>
        </is>
      </c>
      <c r="M23" s="7" t="inlineStr">
        <is>
          <t>Not Started</t>
        </is>
      </c>
      <c r="N23" s="7" t="inlineStr"/>
    </row>
    <row r="24" ht="48" customHeight="1">
      <c r="A24" s="1" t="n"/>
      <c r="C24" s="7" t="inlineStr">
        <is>
          <t>CAT-03</t>
        </is>
      </c>
      <c r="D24" s="7" t="inlineStr">
        <is>
          <t>Catalog</t>
        </is>
      </c>
      <c r="E24" s="7" t="inlineStr">
        <is>
          <t>Save project as template</t>
        </is>
      </c>
      <c r="F24" s="7" t="inlineStr">
        <is>
          <t>Reuse a project's structure for the next similar bid.</t>
        </is>
      </c>
      <c r="G24" s="7" t="inlineStr">
        <is>
          <t>Stored as JSON; instantiate into new project preserving sections + items.</t>
        </is>
      </c>
      <c r="H24" s="7" t="inlineStr">
        <is>
          <t>MVP</t>
        </is>
      </c>
      <c r="I24" s="7" t="inlineStr">
        <is>
          <t>P0</t>
        </is>
      </c>
      <c r="J24" s="7" t="inlineStr">
        <is>
          <t>M</t>
        </is>
      </c>
      <c r="K24" s="7" t="inlineStr">
        <is>
          <t>EST-02</t>
        </is>
      </c>
      <c r="L24" s="7" t="inlineStr">
        <is>
          <t>Brendan</t>
        </is>
      </c>
      <c r="M24" s="7" t="inlineStr">
        <is>
          <t>Not Started</t>
        </is>
      </c>
      <c r="N24" s="7" t="inlineStr"/>
    </row>
    <row r="25" ht="48" customHeight="1">
      <c r="A25" s="1" t="n"/>
      <c r="C25" s="7" t="inlineStr">
        <is>
          <t>MAT-01</t>
        </is>
      </c>
      <c r="D25" s="7" t="inlineStr">
        <is>
          <t>Materials</t>
        </is>
      </c>
      <c r="E25" s="7" t="inlineStr">
        <is>
          <t>Material list per project</t>
        </is>
      </c>
      <c r="F25" s="7" t="inlineStr">
        <is>
          <t>Auto-derive a consolidated shopping list from line items; editable; exportable as PDF.</t>
        </is>
      </c>
      <c r="G25" s="7" t="inlineStr">
        <is>
          <t>Shows item, qty, unit, store hint, est cost; PDF export; shareable read-only link.</t>
        </is>
      </c>
      <c r="H25" s="7" t="inlineStr">
        <is>
          <t>MVP</t>
        </is>
      </c>
      <c r="I25" s="7" t="inlineStr">
        <is>
          <t>P0</t>
        </is>
      </c>
      <c r="J25" s="7" t="inlineStr">
        <is>
          <t>M</t>
        </is>
      </c>
      <c r="K25" s="7" t="inlineStr">
        <is>
          <t>EST-02</t>
        </is>
      </c>
      <c r="L25" s="7" t="inlineStr">
        <is>
          <t>Brendan</t>
        </is>
      </c>
      <c r="M25" s="7" t="inlineStr">
        <is>
          <t>Not Started</t>
        </is>
      </c>
      <c r="N25" s="7" t="inlineStr">
        <is>
          <t>MOVED from Phase 2. Truck-day shopping use-case.</t>
        </is>
      </c>
    </row>
    <row r="26" ht="48" customHeight="1">
      <c r="A26" s="1" t="n"/>
      <c r="C26" s="7" t="inlineStr">
        <is>
          <t>PROP-01</t>
        </is>
      </c>
      <c r="D26" s="7" t="inlineStr">
        <is>
          <t>Proposals</t>
        </is>
      </c>
      <c r="E26" s="7" t="inlineStr">
        <is>
          <t>Proposal builder</t>
        </is>
      </c>
      <c r="F26" s="7" t="inlineStr">
        <is>
          <t>Compose cover letter, scope narrative, exclusions, payment schedule, timeline.</t>
        </is>
      </c>
      <c r="G26" s="7" t="inlineStr">
        <is>
          <t>Section editor with live preview; reorder; drafts auto-saved.</t>
        </is>
      </c>
      <c r="H26" s="7" t="inlineStr">
        <is>
          <t>MVP</t>
        </is>
      </c>
      <c r="I26" s="7" t="inlineStr">
        <is>
          <t>P0</t>
        </is>
      </c>
      <c r="J26" s="7" t="inlineStr">
        <is>
          <t>M</t>
        </is>
      </c>
      <c r="K26" s="7" t="inlineStr">
        <is>
          <t>EST-03</t>
        </is>
      </c>
      <c r="L26" s="7" t="inlineStr">
        <is>
          <t>Brendan</t>
        </is>
      </c>
      <c r="M26" s="7" t="inlineStr">
        <is>
          <t>Not Started</t>
        </is>
      </c>
      <c r="N26" s="7" t="inlineStr"/>
    </row>
    <row r="27" ht="48" customHeight="1">
      <c r="A27" s="1" t="n"/>
      <c r="C27" s="7" t="inlineStr">
        <is>
          <t>PROP-02</t>
        </is>
      </c>
      <c r="D27" s="7" t="inlineStr">
        <is>
          <t>Proposals</t>
        </is>
      </c>
      <c r="E27" s="7" t="inlineStr">
        <is>
          <t>Branded PDF</t>
        </is>
      </c>
      <c r="F27" s="7" t="inlineStr">
        <is>
          <t>PDF reflects contractor logo + brand color.</t>
        </is>
      </c>
      <c r="G27" s="7" t="inlineStr">
        <is>
          <t>React PDF render; matches preview within 5%; A4 + Letter sizes.</t>
        </is>
      </c>
      <c r="H27" s="7" t="inlineStr">
        <is>
          <t>MVP</t>
        </is>
      </c>
      <c r="I27" s="7" t="inlineStr">
        <is>
          <t>P0</t>
        </is>
      </c>
      <c r="J27" s="7" t="inlineStr">
        <is>
          <t>M</t>
        </is>
      </c>
      <c r="K27" s="7" t="inlineStr">
        <is>
          <t>PROP-01</t>
        </is>
      </c>
      <c r="L27" s="7" t="inlineStr">
        <is>
          <t>Brendan</t>
        </is>
      </c>
      <c r="M27" s="7" t="inlineStr">
        <is>
          <t>Not Started</t>
        </is>
      </c>
      <c r="N27" s="7" t="inlineStr">
        <is>
          <t>@react-pdf/renderer</t>
        </is>
      </c>
    </row>
    <row r="28" ht="48" customHeight="1">
      <c r="A28" s="1" t="n"/>
      <c r="C28" s="7" t="inlineStr">
        <is>
          <t>PROP-03</t>
        </is>
      </c>
      <c r="D28" s="7" t="inlineStr">
        <is>
          <t>Proposals</t>
        </is>
      </c>
      <c r="E28" s="7" t="inlineStr">
        <is>
          <t>Email proposal to client</t>
        </is>
      </c>
      <c r="F28" s="7" t="inlineStr">
        <is>
          <t>Send PDF link via email to client.</t>
        </is>
      </c>
      <c r="G28" s="7" t="inlineStr">
        <is>
          <t>Resend send; tracking pixel for 'viewed'; link to download PDF.</t>
        </is>
      </c>
      <c r="H28" s="7" t="inlineStr">
        <is>
          <t>MVP</t>
        </is>
      </c>
      <c r="I28" s="7" t="inlineStr">
        <is>
          <t>P0</t>
        </is>
      </c>
      <c r="J28" s="7" t="inlineStr">
        <is>
          <t>S</t>
        </is>
      </c>
      <c r="K28" s="7" t="inlineStr">
        <is>
          <t>PROP-02</t>
        </is>
      </c>
      <c r="L28" s="7" t="inlineStr">
        <is>
          <t>Brendan</t>
        </is>
      </c>
      <c r="M28" s="7" t="inlineStr">
        <is>
          <t>Not Started</t>
        </is>
      </c>
      <c r="N28" s="7" t="inlineStr">
        <is>
          <t>MVP path: client signs paper or replies 'approved'. Hosted signing is Phase 2.</t>
        </is>
      </c>
    </row>
    <row r="29" ht="48" customHeight="1">
      <c r="A29" s="1" t="n"/>
      <c r="C29" s="7" t="inlineStr">
        <is>
          <t>SIGN-01</t>
        </is>
      </c>
      <c r="D29" s="7" t="inlineStr">
        <is>
          <t>E-Sign</t>
        </is>
      </c>
      <c r="E29" s="7" t="inlineStr">
        <is>
          <t>Hosted client signing page</t>
        </is>
      </c>
      <c r="F29" s="7" t="inlineStr">
        <is>
          <t>Public token URL; client signs typed/drawn on canvas.</t>
        </is>
      </c>
      <c r="G29" s="7" t="inlineStr">
        <is>
          <t>Mobile-friendly; canvas signature; prevents replay; expires.</t>
        </is>
      </c>
      <c r="H29" s="7" t="inlineStr">
        <is>
          <t>Phase 2</t>
        </is>
      </c>
      <c r="I29" s="7" t="inlineStr">
        <is>
          <t>P1</t>
        </is>
      </c>
      <c r="J29" s="7" t="inlineStr">
        <is>
          <t>M</t>
        </is>
      </c>
      <c r="K29" s="7" t="inlineStr">
        <is>
          <t>PROP-03</t>
        </is>
      </c>
      <c r="L29" s="7" t="inlineStr">
        <is>
          <t>Brendan</t>
        </is>
      </c>
      <c r="M29" s="7" t="inlineStr">
        <is>
          <t>Not Started</t>
        </is>
      </c>
      <c r="N29" s="7" t="inlineStr">
        <is>
          <t>MOVED from MVP per scope decision.</t>
        </is>
      </c>
    </row>
    <row r="30" ht="48" customHeight="1">
      <c r="A30" s="1" t="n"/>
      <c r="C30" s="7" t="inlineStr">
        <is>
          <t>SIGN-02</t>
        </is>
      </c>
      <c r="D30" s="7" t="inlineStr">
        <is>
          <t>E-Sign</t>
        </is>
      </c>
      <c r="E30" s="7" t="inlineStr">
        <is>
          <t>Audit log on signature</t>
        </is>
      </c>
      <c r="F30" s="7" t="inlineStr">
        <is>
          <t>Capture IP, UA, timestamp, hash on every signature.</t>
        </is>
      </c>
      <c r="G30" s="7" t="inlineStr">
        <is>
          <t>Immutable audit row; shown on proposal detail page.</t>
        </is>
      </c>
      <c r="H30" s="7" t="inlineStr">
        <is>
          <t>Phase 2</t>
        </is>
      </c>
      <c r="I30" s="7" t="inlineStr">
        <is>
          <t>P1</t>
        </is>
      </c>
      <c r="J30" s="7" t="inlineStr">
        <is>
          <t>S</t>
        </is>
      </c>
      <c r="K30" s="7" t="inlineStr">
        <is>
          <t>SIGN-01</t>
        </is>
      </c>
      <c r="L30" s="7" t="inlineStr">
        <is>
          <t>Brendan</t>
        </is>
      </c>
      <c r="M30" s="7" t="inlineStr">
        <is>
          <t>Not Started</t>
        </is>
      </c>
      <c r="N30" s="7" t="inlineStr"/>
    </row>
    <row r="31" ht="48" customHeight="1">
      <c r="A31" s="1" t="n"/>
      <c r="C31" s="7" t="inlineStr">
        <is>
          <t>INFRA-01</t>
        </is>
      </c>
      <c r="D31" s="7" t="inlineStr">
        <is>
          <t>Infrastructure</t>
        </is>
      </c>
      <c r="E31" s="7" t="inlineStr">
        <is>
          <t>Sentry + in-app feedback button</t>
        </is>
      </c>
      <c r="F31" s="7" t="inlineStr">
        <is>
          <t>Centralized error monitoring + an in-app 'Send feedback' button → Slack/Discord webhook.</t>
        </is>
      </c>
      <c r="G31" s="7" t="inlineStr">
        <is>
          <t>Errors captured with userId; feedback button on every screen.</t>
        </is>
      </c>
      <c r="H31" s="7" t="inlineStr">
        <is>
          <t>Phase 2</t>
        </is>
      </c>
      <c r="I31" s="7" t="inlineStr">
        <is>
          <t>P1</t>
        </is>
      </c>
      <c r="J31" s="7" t="inlineStr">
        <is>
          <t>S</t>
        </is>
      </c>
      <c r="K31" s="7" t="inlineStr"/>
      <c r="L31" s="7" t="inlineStr">
        <is>
          <t>Brendan</t>
        </is>
      </c>
      <c r="M31" s="7" t="inlineStr">
        <is>
          <t>Not Started</t>
        </is>
      </c>
      <c r="N31" s="7" t="inlineStr">
        <is>
          <t>MOVED from MVP per scope decision.</t>
        </is>
      </c>
    </row>
    <row r="32" ht="48" customHeight="1">
      <c r="A32" s="1" t="n"/>
      <c r="C32" s="7" t="inlineStr">
        <is>
          <t>MAT-02</t>
        </is>
      </c>
      <c r="D32" s="7" t="inlineStr">
        <is>
          <t>Materials</t>
        </is>
      </c>
      <c r="E32" s="7" t="inlineStr">
        <is>
          <t>Supplier prices</t>
        </is>
      </c>
      <c r="F32" s="7" t="inlineStr">
        <is>
          <t>Per-supplier price overrides for catalog items.</t>
        </is>
      </c>
      <c r="G32" s="7" t="inlineStr">
        <is>
          <t>Supplier table + price-list; price chosen at PO time.</t>
        </is>
      </c>
      <c r="H32" s="7" t="inlineStr">
        <is>
          <t>Phase 2</t>
        </is>
      </c>
      <c r="I32" s="7" t="inlineStr">
        <is>
          <t>P1</t>
        </is>
      </c>
      <c r="J32" s="7" t="inlineStr">
        <is>
          <t>M</t>
        </is>
      </c>
      <c r="K32" s="7" t="inlineStr">
        <is>
          <t>MAT-01</t>
        </is>
      </c>
      <c r="L32" s="7" t="inlineStr">
        <is>
          <t>Brendan</t>
        </is>
      </c>
      <c r="M32" s="7" t="inlineStr">
        <is>
          <t>Not Started</t>
        </is>
      </c>
      <c r="N32" s="7" t="inlineStr"/>
    </row>
    <row r="33" ht="48" customHeight="1">
      <c r="A33" s="1" t="n"/>
      <c r="C33" s="7" t="inlineStr">
        <is>
          <t>MAT-03</t>
        </is>
      </c>
      <c r="D33" s="7" t="inlineStr">
        <is>
          <t>Materials</t>
        </is>
      </c>
      <c r="E33" s="7" t="inlineStr">
        <is>
          <t>PO PDF generation</t>
        </is>
      </c>
      <c r="F33" s="7" t="inlineStr">
        <is>
          <t>Generate purchase order PDF for a supplier.</t>
        </is>
      </c>
      <c r="G33" s="7" t="inlineStr">
        <is>
          <t>Filtered by supplier; PDF email-able; PO number sequence per workspace.</t>
        </is>
      </c>
      <c r="H33" s="7" t="inlineStr">
        <is>
          <t>Phase 2</t>
        </is>
      </c>
      <c r="I33" s="7" t="inlineStr">
        <is>
          <t>P1</t>
        </is>
      </c>
      <c r="J33" s="7" t="inlineStr">
        <is>
          <t>M</t>
        </is>
      </c>
      <c r="K33" s="7" t="inlineStr">
        <is>
          <t>MAT-02</t>
        </is>
      </c>
      <c r="L33" s="7" t="inlineStr">
        <is>
          <t>Brendan</t>
        </is>
      </c>
      <c r="M33" s="7" t="inlineStr">
        <is>
          <t>Not Started</t>
        </is>
      </c>
      <c r="N33" s="7" t="inlineStr"/>
    </row>
    <row r="34" ht="48" customHeight="1">
      <c r="A34" s="1" t="n"/>
      <c r="C34" s="7" t="inlineStr">
        <is>
          <t>REC-01</t>
        </is>
      </c>
      <c r="D34" s="7" t="inlineStr">
        <is>
          <t>Receipts</t>
        </is>
      </c>
      <c r="E34" s="7" t="inlineStr">
        <is>
          <t>Capture receipt photo / PDF</t>
        </is>
      </c>
      <c r="F34" s="7" t="inlineStr">
        <is>
          <t>Snap or upload a paper receipt against a project.</t>
        </is>
      </c>
      <c r="G34" s="7" t="inlineStr">
        <is>
          <t>Stored with thumbnail; supports HEIC/PNG/JPG/PDF.</t>
        </is>
      </c>
      <c r="H34" s="7" t="inlineStr">
        <is>
          <t>Phase 2</t>
        </is>
      </c>
      <c r="I34" s="7" t="inlineStr">
        <is>
          <t>P1</t>
        </is>
      </c>
      <c r="J34" s="7" t="inlineStr">
        <is>
          <t>S</t>
        </is>
      </c>
      <c r="K34" s="7" t="inlineStr">
        <is>
          <t>PROJ-01</t>
        </is>
      </c>
      <c r="L34" s="7" t="inlineStr">
        <is>
          <t>Brendan</t>
        </is>
      </c>
      <c r="M34" s="7" t="inlineStr">
        <is>
          <t>Not Started</t>
        </is>
      </c>
      <c r="N34" s="7" t="inlineStr"/>
    </row>
    <row r="35" ht="48" customHeight="1">
      <c r="A35" s="1" t="n"/>
      <c r="C35" s="7" t="inlineStr">
        <is>
          <t>REC-02</t>
        </is>
      </c>
      <c r="D35" s="7" t="inlineStr">
        <is>
          <t>Receipts</t>
        </is>
      </c>
      <c r="E35" s="7" t="inlineStr">
        <is>
          <t>Email-forward inbox for order confirmations</t>
        </is>
      </c>
      <c r="F35" s="7" t="inlineStr">
        <is>
          <t>Forward order-confirmation emails (HD / Lowe's / Menard's / Ace / Amazon) to a unique inbox.</t>
        </is>
      </c>
      <c r="G35" s="7" t="inlineStr">
        <is>
          <t>receipts+userid@app.com ingests; attachment + body stored against user.</t>
        </is>
      </c>
      <c r="H35" s="7" t="inlineStr">
        <is>
          <t>Phase 2</t>
        </is>
      </c>
      <c r="I35" s="7" t="inlineStr">
        <is>
          <t>P1</t>
        </is>
      </c>
      <c r="J35" s="7" t="inlineStr">
        <is>
          <t>M</t>
        </is>
      </c>
      <c r="K35" s="7" t="inlineStr"/>
      <c r="L35" s="7" t="inlineStr">
        <is>
          <t>Brendan</t>
        </is>
      </c>
      <c r="M35" s="7" t="inlineStr">
        <is>
          <t>Not Started</t>
        </is>
      </c>
      <c r="N35" s="7" t="inlineStr">
        <is>
          <t>Postmark inbound or SendGrid Inbound Parse; SPF/DKIM verified.</t>
        </is>
      </c>
    </row>
    <row r="36" ht="48" customHeight="1">
      <c r="A36" s="1" t="n"/>
      <c r="C36" s="7" t="inlineStr">
        <is>
          <t>REC-03</t>
        </is>
      </c>
      <c r="D36" s="7" t="inlineStr">
        <is>
          <t>Receipts</t>
        </is>
      </c>
      <c r="E36" s="7" t="inlineStr">
        <is>
          <t>OCR + GPT-4o vision parse</t>
        </is>
      </c>
      <c r="F36" s="7" t="inlineStr">
        <is>
          <t>Extract store, date, items, qty, unit price, tax, total from receipt or email.</t>
        </is>
      </c>
      <c r="G36" s="7" t="inlineStr">
        <is>
          <t>≥85% field accuracy on test set of 30 receipts; structured JSON output.</t>
        </is>
      </c>
      <c r="H36" s="7" t="inlineStr">
        <is>
          <t>Phase 2</t>
        </is>
      </c>
      <c r="I36" s="7" t="inlineStr">
        <is>
          <t>P1</t>
        </is>
      </c>
      <c r="J36" s="7" t="inlineStr">
        <is>
          <t>L</t>
        </is>
      </c>
      <c r="K36" s="7" t="inlineStr">
        <is>
          <t>REC-01, REC-02</t>
        </is>
      </c>
      <c r="L36" s="7" t="inlineStr">
        <is>
          <t>Brendan</t>
        </is>
      </c>
      <c r="M36" s="7" t="inlineStr">
        <is>
          <t>Not Started</t>
        </is>
      </c>
      <c r="N36" s="7" t="inlineStr"/>
    </row>
    <row r="37" ht="48" customHeight="1">
      <c r="A37" s="1" t="n"/>
      <c r="C37" s="7" t="inlineStr">
        <is>
          <t>REC-04</t>
        </is>
      </c>
      <c r="D37" s="7" t="inlineStr">
        <is>
          <t>Receipts</t>
        </is>
      </c>
      <c r="E37" s="7" t="inlineStr">
        <is>
          <t>Match receipt to project</t>
        </is>
      </c>
      <c r="F37" s="7" t="inlineStr">
        <is>
          <t>User picks project; AI suggests based on date/amount/store.</t>
        </is>
      </c>
      <c r="G37" s="7" t="inlineStr">
        <is>
          <t>Manual + AI-suggested match; one-click confirm.</t>
        </is>
      </c>
      <c r="H37" s="7" t="inlineStr">
        <is>
          <t>Phase 2</t>
        </is>
      </c>
      <c r="I37" s="7" t="inlineStr">
        <is>
          <t>P1</t>
        </is>
      </c>
      <c r="J37" s="7" t="inlineStr">
        <is>
          <t>M</t>
        </is>
      </c>
      <c r="K37" s="7" t="inlineStr">
        <is>
          <t>REC-03</t>
        </is>
      </c>
      <c r="L37" s="7" t="inlineStr">
        <is>
          <t>Brendan</t>
        </is>
      </c>
      <c r="M37" s="7" t="inlineStr">
        <is>
          <t>Not Started</t>
        </is>
      </c>
      <c r="N37" s="7" t="inlineStr"/>
    </row>
    <row r="38" ht="48" customHeight="1">
      <c r="A38" s="1" t="n"/>
      <c r="C38" s="7" t="inlineStr">
        <is>
          <t>REC-05</t>
        </is>
      </c>
      <c r="D38" s="7" t="inlineStr">
        <is>
          <t>Receipts</t>
        </is>
      </c>
      <c r="E38" s="7" t="inlineStr">
        <is>
          <t>Reconcile actual vs. estimated materials</t>
        </is>
      </c>
      <c r="F38" s="7" t="inlineStr">
        <is>
          <t>Per line item, compare estimated vs. actual material spend.</t>
        </is>
      </c>
      <c r="G38" s="7" t="inlineStr">
        <is>
          <t>Variance %, overrun flag, drill-down to receipt.</t>
        </is>
      </c>
      <c r="H38" s="7" t="inlineStr">
        <is>
          <t>Phase 2</t>
        </is>
      </c>
      <c r="I38" s="7" t="inlineStr">
        <is>
          <t>P1</t>
        </is>
      </c>
      <c r="J38" s="7" t="inlineStr">
        <is>
          <t>M</t>
        </is>
      </c>
      <c r="K38" s="7" t="inlineStr">
        <is>
          <t>REC-04, MAT-01</t>
        </is>
      </c>
      <c r="L38" s="7" t="inlineStr">
        <is>
          <t>Brendan</t>
        </is>
      </c>
      <c r="M38" s="7" t="inlineStr">
        <is>
          <t>Not Started</t>
        </is>
      </c>
      <c r="N38" s="7" t="inlineStr"/>
    </row>
    <row r="39" ht="48" customHeight="1">
      <c r="A39" s="1" t="n"/>
      <c r="C39" s="7" t="inlineStr">
        <is>
          <t>REC-06</t>
        </is>
      </c>
      <c r="D39" s="7" t="inlineStr">
        <is>
          <t>Receipts</t>
        </is>
      </c>
      <c r="E39" s="7" t="inlineStr">
        <is>
          <t>Export receipts by project</t>
        </is>
      </c>
      <c r="F39" s="7" t="inlineStr">
        <is>
          <t>ZIP of all receipts + summary CSV for tax/job-costing.</t>
        </is>
      </c>
      <c r="G39" s="7" t="inlineStr">
        <is>
          <t>Download endpoint; filterable by date range.</t>
        </is>
      </c>
      <c r="H39" s="7" t="inlineStr">
        <is>
          <t>Phase 2</t>
        </is>
      </c>
      <c r="I39" s="7" t="inlineStr">
        <is>
          <t>P1</t>
        </is>
      </c>
      <c r="J39" s="7" t="inlineStr">
        <is>
          <t>S</t>
        </is>
      </c>
      <c r="K39" s="7" t="inlineStr">
        <is>
          <t>REC-03</t>
        </is>
      </c>
      <c r="L39" s="7" t="inlineStr">
        <is>
          <t>Brendan</t>
        </is>
      </c>
      <c r="M39" s="7" t="inlineStr">
        <is>
          <t>Not Started</t>
        </is>
      </c>
      <c r="N39" s="7" t="inlineStr"/>
    </row>
    <row r="40" ht="48" customHeight="1">
      <c r="A40" s="1" t="n"/>
      <c r="C40" s="7" t="inlineStr">
        <is>
          <t>SCHED-01</t>
        </is>
      </c>
      <c r="D40" s="7" t="inlineStr">
        <is>
          <t>Scheduling</t>
        </is>
      </c>
      <c r="E40" s="7" t="inlineStr">
        <is>
          <t>Project calendar</t>
        </is>
      </c>
      <c r="F40" s="7" t="inlineStr">
        <is>
          <t>Calendar view per project (day / week / month).</t>
        </is>
      </c>
      <c r="G40" s="7" t="inlineStr">
        <is>
          <t>Drag-create events; recurring events supported.</t>
        </is>
      </c>
      <c r="H40" s="7" t="inlineStr">
        <is>
          <t>Phase 2</t>
        </is>
      </c>
      <c r="I40" s="7" t="inlineStr">
        <is>
          <t>P1</t>
        </is>
      </c>
      <c r="J40" s="7" t="inlineStr">
        <is>
          <t>M</t>
        </is>
      </c>
      <c r="K40" s="7" t="inlineStr">
        <is>
          <t>PROJ-01</t>
        </is>
      </c>
      <c r="L40" s="7" t="inlineStr">
        <is>
          <t>Brendan</t>
        </is>
      </c>
      <c r="M40" s="7" t="inlineStr">
        <is>
          <t>Not Started</t>
        </is>
      </c>
      <c r="N40" s="7" t="inlineStr"/>
    </row>
    <row r="41" ht="48" customHeight="1">
      <c r="A41" s="1" t="n"/>
      <c r="C41" s="7" t="inlineStr">
        <is>
          <t>SCHED-02</t>
        </is>
      </c>
      <c r="D41" s="7" t="inlineStr">
        <is>
          <t>Scheduling</t>
        </is>
      </c>
      <c r="E41" s="7" t="inlineStr">
        <is>
          <t>Sub assignments</t>
        </is>
      </c>
      <c r="F41" s="7" t="inlineStr">
        <is>
          <t>Assign subcontractors to scheduled tasks.</t>
        </is>
      </c>
      <c r="G41" s="7" t="inlineStr">
        <is>
          <t>Sub directory; assignment CRUD; conflict warnings.</t>
        </is>
      </c>
      <c r="H41" s="7" t="inlineStr">
        <is>
          <t>Phase 2</t>
        </is>
      </c>
      <c r="I41" s="7" t="inlineStr">
        <is>
          <t>P1</t>
        </is>
      </c>
      <c r="J41" s="7" t="inlineStr">
        <is>
          <t>M</t>
        </is>
      </c>
      <c r="K41" s="7" t="inlineStr">
        <is>
          <t>SCHED-01</t>
        </is>
      </c>
      <c r="L41" s="7" t="inlineStr">
        <is>
          <t>Brendan</t>
        </is>
      </c>
      <c r="M41" s="7" t="inlineStr">
        <is>
          <t>Not Started</t>
        </is>
      </c>
      <c r="N41" s="7" t="inlineStr"/>
    </row>
    <row r="42" ht="48" customHeight="1">
      <c r="A42" s="1" t="n"/>
      <c r="C42" s="7" t="inlineStr">
        <is>
          <t>SCHED-03</t>
        </is>
      </c>
      <c r="D42" s="7" t="inlineStr">
        <is>
          <t>Scheduling</t>
        </is>
      </c>
      <c r="E42" s="7" t="inlineStr">
        <is>
          <t>SMS / email reminders to subs</t>
        </is>
      </c>
      <c r="F42" s="7" t="inlineStr">
        <is>
          <t>Notify subs day-before and morning-of an assignment.</t>
        </is>
      </c>
      <c r="G42" s="7" t="inlineStr">
        <is>
          <t>Twilio + Resend; opt-out link; delivery status tracked.</t>
        </is>
      </c>
      <c r="H42" s="7" t="inlineStr">
        <is>
          <t>Phase 2</t>
        </is>
      </c>
      <c r="I42" s="7" t="inlineStr">
        <is>
          <t>P1</t>
        </is>
      </c>
      <c r="J42" s="7" t="inlineStr">
        <is>
          <t>M</t>
        </is>
      </c>
      <c r="K42" s="7" t="inlineStr">
        <is>
          <t>SCHED-02</t>
        </is>
      </c>
      <c r="L42" s="7" t="inlineStr">
        <is>
          <t>Brendan</t>
        </is>
      </c>
      <c r="M42" s="7" t="inlineStr">
        <is>
          <t>Not Started</t>
        </is>
      </c>
      <c r="N42" s="7" t="inlineStr"/>
    </row>
    <row r="43" ht="48" customHeight="1">
      <c r="A43" s="1" t="n"/>
      <c r="C43" s="7" t="inlineStr">
        <is>
          <t>TIME-01</t>
        </is>
      </c>
      <c r="D43" s="7" t="inlineStr">
        <is>
          <t>Time</t>
        </is>
      </c>
      <c r="E43" s="7" t="inlineStr">
        <is>
          <t>Crew clock-in / out</t>
        </is>
      </c>
      <c r="F43" s="7" t="inlineStr">
        <is>
          <t>Mobile clock-in to a project for crew members.</t>
        </is>
      </c>
      <c r="G43" s="7" t="inlineStr">
        <is>
          <t>GPS optional; manual entry fallback; geofence warning.</t>
        </is>
      </c>
      <c r="H43" s="7" t="inlineStr">
        <is>
          <t>Phase 2</t>
        </is>
      </c>
      <c r="I43" s="7" t="inlineStr">
        <is>
          <t>P1</t>
        </is>
      </c>
      <c r="J43" s="7" t="inlineStr">
        <is>
          <t>M</t>
        </is>
      </c>
      <c r="K43" s="7" t="inlineStr">
        <is>
          <t>PROJ-01</t>
        </is>
      </c>
      <c r="L43" s="7" t="inlineStr">
        <is>
          <t>Brendan</t>
        </is>
      </c>
      <c r="M43" s="7" t="inlineStr">
        <is>
          <t>Not Started</t>
        </is>
      </c>
      <c r="N43" s="7" t="inlineStr"/>
    </row>
    <row r="44" ht="48" customHeight="1">
      <c r="A44" s="1" t="n"/>
      <c r="C44" s="7" t="inlineStr">
        <is>
          <t>TIME-02</t>
        </is>
      </c>
      <c r="D44" s="7" t="inlineStr">
        <is>
          <t>Time</t>
        </is>
      </c>
      <c r="E44" s="7" t="inlineStr">
        <is>
          <t>Hours roll-up to project actuals</t>
        </is>
      </c>
      <c r="F44" s="7" t="inlineStr">
        <is>
          <t>Compare estimated labor vs. actual hours per section.</t>
        </is>
      </c>
      <c r="G44" s="7" t="inlineStr">
        <is>
          <t>Per-section variance dashboard.</t>
        </is>
      </c>
      <c r="H44" s="7" t="inlineStr">
        <is>
          <t>Phase 2</t>
        </is>
      </c>
      <c r="I44" s="7" t="inlineStr">
        <is>
          <t>P1</t>
        </is>
      </c>
      <c r="J44" s="7" t="inlineStr">
        <is>
          <t>S</t>
        </is>
      </c>
      <c r="K44" s="7" t="inlineStr">
        <is>
          <t>TIME-01, EST-02</t>
        </is>
      </c>
      <c r="L44" s="7" t="inlineStr">
        <is>
          <t>Brendan</t>
        </is>
      </c>
      <c r="M44" s="7" t="inlineStr">
        <is>
          <t>Not Started</t>
        </is>
      </c>
      <c r="N44" s="7" t="inlineStr"/>
    </row>
    <row r="45" ht="48" customHeight="1">
      <c r="A45" s="1" t="n"/>
      <c r="C45" s="7" t="inlineStr">
        <is>
          <t>INV-01</t>
        </is>
      </c>
      <c r="D45" s="7" t="inlineStr">
        <is>
          <t>Invoicing</t>
        </is>
      </c>
      <c r="E45" s="7" t="inlineStr">
        <is>
          <t>Convert proposal → invoice</t>
        </is>
      </c>
      <c r="F45" s="7" t="inlineStr">
        <is>
          <t>Convert a signed proposal into an invoice.</t>
        </is>
      </c>
      <c r="G45" s="7" t="inlineStr">
        <is>
          <t>Carries scope; editable; status tracking (draft/sent/paid).</t>
        </is>
      </c>
      <c r="H45" s="7" t="inlineStr">
        <is>
          <t>Phase 2</t>
        </is>
      </c>
      <c r="I45" s="7" t="inlineStr">
        <is>
          <t>P1</t>
        </is>
      </c>
      <c r="J45" s="7" t="inlineStr">
        <is>
          <t>M</t>
        </is>
      </c>
      <c r="K45" s="7" t="inlineStr">
        <is>
          <t>SIGN-01</t>
        </is>
      </c>
      <c r="L45" s="7" t="inlineStr">
        <is>
          <t>Brendan</t>
        </is>
      </c>
      <c r="M45" s="7" t="inlineStr">
        <is>
          <t>Not Started</t>
        </is>
      </c>
      <c r="N45" s="7" t="inlineStr"/>
    </row>
    <row r="46" ht="48" customHeight="1">
      <c r="A46" s="1" t="n"/>
      <c r="C46" s="7" t="inlineStr">
        <is>
          <t>INV-02</t>
        </is>
      </c>
      <c r="D46" s="7" t="inlineStr">
        <is>
          <t>Invoicing</t>
        </is>
      </c>
      <c r="E46" s="7" t="inlineStr">
        <is>
          <t>Progress billing (draws)</t>
        </is>
      </c>
      <c r="F46" s="7" t="inlineStr">
        <is>
          <t>Configure draw schedule (deposit / mid / final).</t>
        </is>
      </c>
      <c r="G46" s="7" t="inlineStr">
        <is>
          <t>Per-draw invoices; auto-suggest based on milestones.</t>
        </is>
      </c>
      <c r="H46" s="7" t="inlineStr">
        <is>
          <t>Phase 2</t>
        </is>
      </c>
      <c r="I46" s="7" t="inlineStr">
        <is>
          <t>P1</t>
        </is>
      </c>
      <c r="J46" s="7" t="inlineStr">
        <is>
          <t>M</t>
        </is>
      </c>
      <c r="K46" s="7" t="inlineStr">
        <is>
          <t>INV-01</t>
        </is>
      </c>
      <c r="L46" s="7" t="inlineStr">
        <is>
          <t>Brendan</t>
        </is>
      </c>
      <c r="M46" s="7" t="inlineStr">
        <is>
          <t>Not Started</t>
        </is>
      </c>
      <c r="N46" s="7" t="inlineStr"/>
    </row>
    <row r="47" ht="48" customHeight="1">
      <c r="A47" s="1" t="n"/>
      <c r="C47" s="7" t="inlineStr">
        <is>
          <t>INV-03</t>
        </is>
      </c>
      <c r="D47" s="7" t="inlineStr">
        <is>
          <t>Invoicing</t>
        </is>
      </c>
      <c r="E47" s="7" t="inlineStr">
        <is>
          <t>Payment link</t>
        </is>
      </c>
      <c r="F47" s="7" t="inlineStr">
        <is>
          <t>Generic 'pay link' placeholder; payment recorded against invoice.</t>
        </is>
      </c>
      <c r="G47" s="7" t="inlineStr">
        <is>
          <t>Manual mark-paid in Phase 2; Stripe integration deferred to Phase 4.</t>
        </is>
      </c>
      <c r="H47" s="7" t="inlineStr">
        <is>
          <t>Phase 2</t>
        </is>
      </c>
      <c r="I47" s="7" t="inlineStr">
        <is>
          <t>P1</t>
        </is>
      </c>
      <c r="J47" s="7" t="inlineStr">
        <is>
          <t>M</t>
        </is>
      </c>
      <c r="K47" s="7" t="inlineStr">
        <is>
          <t>INV-01</t>
        </is>
      </c>
      <c r="L47" s="7" t="inlineStr">
        <is>
          <t>Brendan</t>
        </is>
      </c>
      <c r="M47" s="7" t="inlineStr">
        <is>
          <t>Not Started</t>
        </is>
      </c>
      <c r="N47" s="7" t="inlineStr"/>
    </row>
    <row r="48" ht="48" customHeight="1">
      <c r="A48" s="1" t="n"/>
      <c r="C48" s="7" t="inlineStr">
        <is>
          <t>CO-01</t>
        </is>
      </c>
      <c r="D48" s="7" t="inlineStr">
        <is>
          <t>Change Orders</t>
        </is>
      </c>
      <c r="E48" s="7" t="inlineStr">
        <is>
          <t>Change order builder</t>
        </is>
      </c>
      <c r="F48" s="7" t="inlineStr">
        <is>
          <t>Add scope/$ to a signed proposal mid-project.</t>
        </is>
      </c>
      <c r="G48" s="7" t="inlineStr">
        <is>
          <t>Linked to original; new total; client must re-sign.</t>
        </is>
      </c>
      <c r="H48" s="7" t="inlineStr">
        <is>
          <t>Phase 2</t>
        </is>
      </c>
      <c r="I48" s="7" t="inlineStr">
        <is>
          <t>P1</t>
        </is>
      </c>
      <c r="J48" s="7" t="inlineStr">
        <is>
          <t>M</t>
        </is>
      </c>
      <c r="K48" s="7" t="inlineStr">
        <is>
          <t>PROP-01, SIGN-01</t>
        </is>
      </c>
      <c r="L48" s="7" t="inlineStr">
        <is>
          <t>Brendan</t>
        </is>
      </c>
      <c r="M48" s="7" t="inlineStr">
        <is>
          <t>Not Started</t>
        </is>
      </c>
      <c r="N48" s="7" t="inlineStr"/>
    </row>
    <row r="49" ht="48" customHeight="1">
      <c r="A49" s="1" t="n"/>
      <c r="C49" s="7" t="inlineStr">
        <is>
          <t>CO-02</t>
        </is>
      </c>
      <c r="D49" s="7" t="inlineStr">
        <is>
          <t>Change Orders</t>
        </is>
      </c>
      <c r="E49" s="7" t="inlineStr">
        <is>
          <t>Re-sign flow for change orders</t>
        </is>
      </c>
      <c r="F49" s="7" t="inlineStr">
        <is>
          <t>Client re-signs change order via hosted page.</t>
        </is>
      </c>
      <c r="G49" s="7" t="inlineStr">
        <is>
          <t>Reuses SIGN-01 flow; appended to audit log.</t>
        </is>
      </c>
      <c r="H49" s="7" t="inlineStr">
        <is>
          <t>Phase 2</t>
        </is>
      </c>
      <c r="I49" s="7" t="inlineStr">
        <is>
          <t>P1</t>
        </is>
      </c>
      <c r="J49" s="7" t="inlineStr">
        <is>
          <t>S</t>
        </is>
      </c>
      <c r="K49" s="7" t="inlineStr">
        <is>
          <t>CO-01, SIGN-01</t>
        </is>
      </c>
      <c r="L49" s="7" t="inlineStr">
        <is>
          <t>Brendan</t>
        </is>
      </c>
      <c r="M49" s="7" t="inlineStr">
        <is>
          <t>Not Started</t>
        </is>
      </c>
      <c r="N49" s="7" t="inlineStr"/>
    </row>
    <row r="50" ht="48" customHeight="1">
      <c r="A50" s="1" t="n"/>
      <c r="C50" s="7" t="inlineStr">
        <is>
          <t>TAX-01</t>
        </is>
      </c>
      <c r="D50" s="7" t="inlineStr">
        <is>
          <t>1099/Tax</t>
        </is>
      </c>
      <c r="E50" s="7" t="inlineStr">
        <is>
          <t>Subcontractor profile + W-9 capture</t>
        </is>
      </c>
      <c r="F50" s="7" t="inlineStr">
        <is>
          <t>Capture sub profile and W-9 PDF; encrypt EIN/SSN at rest.</t>
        </is>
      </c>
      <c r="G50" s="7" t="inlineStr">
        <is>
          <t>pgcrypto encryption; access logged; W-9 PDF stored.</t>
        </is>
      </c>
      <c r="H50" s="7" t="inlineStr">
        <is>
          <t>Phase 2</t>
        </is>
      </c>
      <c r="I50" s="7" t="inlineStr">
        <is>
          <t>P1</t>
        </is>
      </c>
      <c r="J50" s="7" t="inlineStr">
        <is>
          <t>M</t>
        </is>
      </c>
      <c r="K50" s="7" t="inlineStr"/>
      <c r="L50" s="7" t="inlineStr">
        <is>
          <t>Brendan</t>
        </is>
      </c>
      <c r="M50" s="7" t="inlineStr">
        <is>
          <t>Not Started</t>
        </is>
      </c>
      <c r="N50" s="7" t="inlineStr">
        <is>
          <t>PII handling — review with privacy/legal before go-live.</t>
        </is>
      </c>
    </row>
    <row r="51" ht="48" customHeight="1">
      <c r="A51" s="1" t="n"/>
      <c r="C51" s="7" t="inlineStr">
        <is>
          <t>TAX-02</t>
        </is>
      </c>
      <c r="D51" s="7" t="inlineStr">
        <is>
          <t>1099/Tax</t>
        </is>
      </c>
      <c r="E51" s="7" t="inlineStr">
        <is>
          <t>Payment ledger by sub by year</t>
        </is>
      </c>
      <c r="F51" s="7" t="inlineStr">
        <is>
          <t>Track all payments to each sub by tax year.</t>
        </is>
      </c>
      <c r="G51" s="7" t="inlineStr">
        <is>
          <t>Per-sub annual total; filterable by year and project.</t>
        </is>
      </c>
      <c r="H51" s="7" t="inlineStr">
        <is>
          <t>Phase 2</t>
        </is>
      </c>
      <c r="I51" s="7" t="inlineStr">
        <is>
          <t>P1</t>
        </is>
      </c>
      <c r="J51" s="7" t="inlineStr">
        <is>
          <t>M</t>
        </is>
      </c>
      <c r="K51" s="7" t="inlineStr">
        <is>
          <t>TAX-01</t>
        </is>
      </c>
      <c r="L51" s="7" t="inlineStr">
        <is>
          <t>Brendan</t>
        </is>
      </c>
      <c r="M51" s="7" t="inlineStr">
        <is>
          <t>Not Started</t>
        </is>
      </c>
      <c r="N51" s="7" t="inlineStr"/>
    </row>
    <row r="52" ht="48" customHeight="1">
      <c r="A52" s="1" t="n"/>
      <c r="C52" s="7" t="inlineStr">
        <is>
          <t>TAX-03</t>
        </is>
      </c>
      <c r="D52" s="7" t="inlineStr">
        <is>
          <t>1099/Tax</t>
        </is>
      </c>
      <c r="E52" s="7" t="inlineStr">
        <is>
          <t>Generate 1099-NEC PDF</t>
        </is>
      </c>
      <c r="F52" s="7" t="inlineStr">
        <is>
          <t>Render IRS-aligned 1099-NEC PDF per sub (Copies B / C / 2).</t>
        </is>
      </c>
      <c r="G52" s="7" t="inlineStr">
        <is>
          <t>Matches IRS form layout; spot-check against IRS sample.</t>
        </is>
      </c>
      <c r="H52" s="7" t="inlineStr">
        <is>
          <t>Phase 2</t>
        </is>
      </c>
      <c r="I52" s="7" t="inlineStr">
        <is>
          <t>P1</t>
        </is>
      </c>
      <c r="J52" s="7" t="inlineStr">
        <is>
          <t>L</t>
        </is>
      </c>
      <c r="K52" s="7" t="inlineStr">
        <is>
          <t>TAX-02</t>
        </is>
      </c>
      <c r="L52" s="7" t="inlineStr">
        <is>
          <t>Brendan</t>
        </is>
      </c>
      <c r="M52" s="7" t="inlineStr">
        <is>
          <t>Not Started</t>
        </is>
      </c>
      <c r="N52" s="7" t="inlineStr">
        <is>
          <t>Copy A requires IRS red-ink scannable form — direct user to e-file via IRS FIRE or Track1099 instead.</t>
        </is>
      </c>
    </row>
    <row r="53" ht="48" customHeight="1">
      <c r="A53" s="1" t="n"/>
      <c r="C53" s="7" t="inlineStr">
        <is>
          <t>TAX-04</t>
        </is>
      </c>
      <c r="D53" s="7" t="inlineStr">
        <is>
          <t>1099/Tax</t>
        </is>
      </c>
      <c r="E53" s="7" t="inlineStr">
        <is>
          <t>Year-end bulk packet</t>
        </is>
      </c>
      <c r="F53" s="7" t="inlineStr">
        <is>
          <t>ZIP of all subs' 1099s + summary CSV for the tax year.</t>
        </is>
      </c>
      <c r="G53" s="7" t="inlineStr">
        <is>
          <t>One-click export; idempotent (regeneratable).</t>
        </is>
      </c>
      <c r="H53" s="7" t="inlineStr">
        <is>
          <t>Phase 2</t>
        </is>
      </c>
      <c r="I53" s="7" t="inlineStr">
        <is>
          <t>P1</t>
        </is>
      </c>
      <c r="J53" s="7" t="inlineStr">
        <is>
          <t>S</t>
        </is>
      </c>
      <c r="K53" s="7" t="inlineStr">
        <is>
          <t>TAX-03</t>
        </is>
      </c>
      <c r="L53" s="7" t="inlineStr">
        <is>
          <t>Brendan</t>
        </is>
      </c>
      <c r="M53" s="7" t="inlineStr">
        <is>
          <t>Not Started</t>
        </is>
      </c>
      <c r="N53" s="7" t="inlineStr"/>
    </row>
    <row r="54" ht="48" customHeight="1">
      <c r="A54" s="1" t="n"/>
      <c r="C54" s="7" t="inlineStr">
        <is>
          <t>TAX-05</t>
        </is>
      </c>
      <c r="D54" s="7" t="inlineStr">
        <is>
          <t>1099/Tax</t>
        </is>
      </c>
      <c r="E54" s="7" t="inlineStr">
        <is>
          <t>1096 transmittal generation</t>
        </is>
      </c>
      <c r="F54" s="7" t="inlineStr">
        <is>
          <t>Generate IRS Form 1096 if user paper-files.</t>
        </is>
      </c>
      <c r="G54" s="7" t="inlineStr">
        <is>
          <t>PDF; matches IRS form layout.</t>
        </is>
      </c>
      <c r="H54" s="7" t="inlineStr">
        <is>
          <t>Phase 2</t>
        </is>
      </c>
      <c r="I54" s="7" t="inlineStr">
        <is>
          <t>P1</t>
        </is>
      </c>
      <c r="J54" s="7" t="inlineStr">
        <is>
          <t>S</t>
        </is>
      </c>
      <c r="K54" s="7" t="inlineStr">
        <is>
          <t>TAX-03</t>
        </is>
      </c>
      <c r="L54" s="7" t="inlineStr">
        <is>
          <t>Brendan</t>
        </is>
      </c>
      <c r="M54" s="7" t="inlineStr">
        <is>
          <t>Not Started</t>
        </is>
      </c>
      <c r="N54" s="7" t="inlineStr"/>
    </row>
    <row r="55" ht="48" customHeight="1">
      <c r="A55" s="1" t="n"/>
      <c r="C55" s="7" t="inlineStr">
        <is>
          <t>COMM-01</t>
        </is>
      </c>
      <c r="D55" s="7" t="inlineStr">
        <is>
          <t>Client</t>
        </is>
      </c>
      <c r="E55" s="7" t="inlineStr">
        <is>
          <t>Client portal (view-only)</t>
        </is>
      </c>
      <c r="F55" s="7" t="inlineStr">
        <is>
          <t>Client sees proposal, change orders, invoices in one URL.</t>
        </is>
      </c>
      <c r="G55" s="7" t="inlineStr">
        <is>
          <t>Token-gated; no login required for client.</t>
        </is>
      </c>
      <c r="H55" s="7" t="inlineStr">
        <is>
          <t>Phase 2</t>
        </is>
      </c>
      <c r="I55" s="7" t="inlineStr">
        <is>
          <t>P1</t>
        </is>
      </c>
      <c r="J55" s="7" t="inlineStr">
        <is>
          <t>M</t>
        </is>
      </c>
      <c r="K55" s="7" t="inlineStr">
        <is>
          <t>PROP-03</t>
        </is>
      </c>
      <c r="L55" s="7" t="inlineStr">
        <is>
          <t>Brendan</t>
        </is>
      </c>
      <c r="M55" s="7" t="inlineStr">
        <is>
          <t>Not Started</t>
        </is>
      </c>
      <c r="N55" s="7" t="inlineStr"/>
    </row>
    <row r="56" ht="48" customHeight="1">
      <c r="A56" s="1" t="n"/>
      <c r="C56" s="7" t="inlineStr">
        <is>
          <t>COMM-02</t>
        </is>
      </c>
      <c r="D56" s="7" t="inlineStr">
        <is>
          <t>Client</t>
        </is>
      </c>
      <c r="E56" s="7" t="inlineStr">
        <is>
          <t>Comments on proposal sections</t>
        </is>
      </c>
      <c r="F56" s="7" t="inlineStr">
        <is>
          <t>Client and contractor can thread comments per section.</t>
        </is>
      </c>
      <c r="G56" s="7" t="inlineStr">
        <is>
          <t>Polling-based realtime OK; email notification on new comment.</t>
        </is>
      </c>
      <c r="H56" s="7" t="inlineStr">
        <is>
          <t>Phase 2</t>
        </is>
      </c>
      <c r="I56" s="7" t="inlineStr">
        <is>
          <t>P1</t>
        </is>
      </c>
      <c r="J56" s="7" t="inlineStr">
        <is>
          <t>M</t>
        </is>
      </c>
      <c r="K56" s="7" t="inlineStr">
        <is>
          <t>COMM-01</t>
        </is>
      </c>
      <c r="L56" s="7" t="inlineStr">
        <is>
          <t>Brendan</t>
        </is>
      </c>
      <c r="M56" s="7" t="inlineStr">
        <is>
          <t>Not Started</t>
        </is>
      </c>
      <c r="N56" s="7" t="inlineStr"/>
    </row>
    <row r="57" ht="48" customHeight="1">
      <c r="A57" s="1" t="n"/>
      <c r="C57" s="7" t="inlineStr">
        <is>
          <t>VIZ-01</t>
        </is>
      </c>
      <c r="D57" s="7" t="inlineStr">
        <is>
          <t>Visualization</t>
        </is>
      </c>
      <c r="E57" s="7" t="inlineStr">
        <is>
          <t>3D room scan</t>
        </is>
      </c>
      <c r="F57" s="7" t="inlineStr">
        <is>
          <t>Capture 3D geometry of an existing room.</t>
        </is>
      </c>
      <c r="G57" s="7" t="inlineStr">
        <is>
          <t>LiDAR via WebXR on supported phones; 8–12 photo photogrammetry fallback; mesh stored.</t>
        </is>
      </c>
      <c r="H57" s="7" t="inlineStr">
        <is>
          <t>Phase 3</t>
        </is>
      </c>
      <c r="I57" s="7" t="inlineStr">
        <is>
          <t>P2</t>
        </is>
      </c>
      <c r="J57" s="7" t="inlineStr">
        <is>
          <t>XL</t>
        </is>
      </c>
      <c r="K57" s="7" t="inlineStr">
        <is>
          <t>PROJ-03</t>
        </is>
      </c>
      <c r="L57" s="7" t="inlineStr">
        <is>
          <t>Brendan</t>
        </is>
      </c>
      <c r="M57" s="7" t="inlineStr">
        <is>
          <t>Not Started</t>
        </is>
      </c>
      <c r="N57" s="7" t="inlineStr">
        <is>
          <t>Opt-in; LiDAR availability uneven on non-Pro iPhones.</t>
        </is>
      </c>
    </row>
    <row r="58" ht="48" customHeight="1">
      <c r="A58" s="1" t="n"/>
      <c r="C58" s="7" t="inlineStr">
        <is>
          <t>VIZ-02</t>
        </is>
      </c>
      <c r="D58" s="7" t="inlineStr">
        <is>
          <t>Visualization</t>
        </is>
      </c>
      <c r="E58" s="7" t="inlineStr">
        <is>
          <t>3D viewer (web)</t>
        </is>
      </c>
      <c r="F58" s="7" t="inlineStr">
        <is>
          <t>Render scanned room in proposal; client rotates / zooms.</t>
        </is>
      </c>
      <c r="G58" s="7" t="inlineStr">
        <is>
          <t>three.js / react-three-fiber; loads &lt;3s on mid-tier mobile.</t>
        </is>
      </c>
      <c r="H58" s="7" t="inlineStr">
        <is>
          <t>Phase 3</t>
        </is>
      </c>
      <c r="I58" s="7" t="inlineStr">
        <is>
          <t>P2</t>
        </is>
      </c>
      <c r="J58" s="7" t="inlineStr">
        <is>
          <t>L</t>
        </is>
      </c>
      <c r="K58" s="7" t="inlineStr">
        <is>
          <t>VIZ-01</t>
        </is>
      </c>
      <c r="L58" s="7" t="inlineStr">
        <is>
          <t>Brendan</t>
        </is>
      </c>
      <c r="M58" s="7" t="inlineStr">
        <is>
          <t>Not Started</t>
        </is>
      </c>
      <c r="N58" s="7" t="inlineStr"/>
    </row>
    <row r="59" ht="48" customHeight="1">
      <c r="A59" s="1" t="n"/>
      <c r="C59" s="7" t="inlineStr">
        <is>
          <t>VIZ-03</t>
        </is>
      </c>
      <c r="D59" s="7" t="inlineStr">
        <is>
          <t>Visualization</t>
        </is>
      </c>
      <c r="E59" s="7" t="inlineStr">
        <is>
          <t>Annotate 3D model with line items</t>
        </is>
      </c>
      <c r="F59" s="7" t="inlineStr">
        <is>
          <t>Tag surfaces in the model with line items (this wall = drywall + paint).</t>
        </is>
      </c>
      <c r="G59" s="7" t="inlineStr">
        <is>
          <t>Per-surface tag list; bidirectional link to estimate.</t>
        </is>
      </c>
      <c r="H59" s="7" t="inlineStr">
        <is>
          <t>Phase 3</t>
        </is>
      </c>
      <c r="I59" s="7" t="inlineStr">
        <is>
          <t>P2</t>
        </is>
      </c>
      <c r="J59" s="7" t="inlineStr">
        <is>
          <t>L</t>
        </is>
      </c>
      <c r="K59" s="7" t="inlineStr">
        <is>
          <t>VIZ-02, EST-02</t>
        </is>
      </c>
      <c r="L59" s="7" t="inlineStr">
        <is>
          <t>Brendan</t>
        </is>
      </c>
      <c r="M59" s="7" t="inlineStr">
        <is>
          <t>Not Started</t>
        </is>
      </c>
      <c r="N59" s="7" t="inlineStr"/>
    </row>
    <row r="60" ht="48" customHeight="1">
      <c r="A60" s="1" t="n"/>
      <c r="C60" s="7" t="inlineStr">
        <is>
          <t>VIZ-04</t>
        </is>
      </c>
      <c r="D60" s="7" t="inlineStr">
        <is>
          <t>Visualization</t>
        </is>
      </c>
      <c r="E60" s="7" t="inlineStr">
        <is>
          <t>Before-photo capture &amp; alignment</t>
        </is>
      </c>
      <c r="F60" s="7" t="inlineStr">
        <is>
          <t>Store original 'before' photos with camera pose for later alignment.</t>
        </is>
      </c>
      <c r="G60" s="7" t="inlineStr">
        <is>
          <t>EXIF preserved; manual alignment helper in UI.</t>
        </is>
      </c>
      <c r="H60" s="7" t="inlineStr">
        <is>
          <t>Phase 3</t>
        </is>
      </c>
      <c r="I60" s="7" t="inlineStr">
        <is>
          <t>P2</t>
        </is>
      </c>
      <c r="J60" s="7" t="inlineStr">
        <is>
          <t>M</t>
        </is>
      </c>
      <c r="K60" s="7" t="inlineStr">
        <is>
          <t>PROJ-03</t>
        </is>
      </c>
      <c r="L60" s="7" t="inlineStr">
        <is>
          <t>Brendan</t>
        </is>
      </c>
      <c r="M60" s="7" t="inlineStr">
        <is>
          <t>Not Started</t>
        </is>
      </c>
      <c r="N60" s="7" t="inlineStr"/>
    </row>
    <row r="61" ht="48" customHeight="1">
      <c r="A61" s="1" t="n"/>
      <c r="C61" s="7" t="inlineStr">
        <is>
          <t>VIZ-05</t>
        </is>
      </c>
      <c r="D61" s="7" t="inlineStr">
        <is>
          <t>Visualization</t>
        </is>
      </c>
      <c r="E61" s="7" t="inlineStr">
        <is>
          <t>AI-generated 'after' photo</t>
        </is>
      </c>
      <c r="F61" s="7" t="inlineStr">
        <is>
          <t>Generate a photorealistic 'after' image conditioned on before-photo + scope text.</t>
        </is>
      </c>
      <c r="G61" s="7" t="inlineStr">
        <is>
          <t>Mandatory watermark 'AI-generated visualization, not a guarantee'; cap regenerations per proposal.</t>
        </is>
      </c>
      <c r="H61" s="7" t="inlineStr">
        <is>
          <t>Phase 3</t>
        </is>
      </c>
      <c r="I61" s="7" t="inlineStr">
        <is>
          <t>P2</t>
        </is>
      </c>
      <c r="J61" s="7" t="inlineStr">
        <is>
          <t>XL</t>
        </is>
      </c>
      <c r="K61" s="7" t="inlineStr">
        <is>
          <t>VIZ-04, EST-02</t>
        </is>
      </c>
      <c r="L61" s="7" t="inlineStr">
        <is>
          <t>Brendan</t>
        </is>
      </c>
      <c r="M61" s="7" t="inlineStr">
        <is>
          <t>Not Started</t>
        </is>
      </c>
      <c r="N61" s="7" t="inlineStr">
        <is>
          <t>Image-gen API cost ~$0.05–0.15/image; ToS disclaimer required.</t>
        </is>
      </c>
    </row>
    <row r="62" ht="48" customHeight="1">
      <c r="A62" s="1" t="n"/>
      <c r="C62" s="7" t="inlineStr">
        <is>
          <t>VIZ-06</t>
        </is>
      </c>
      <c r="D62" s="7" t="inlineStr">
        <is>
          <t>Visualization</t>
        </is>
      </c>
      <c r="E62" s="7" t="inlineStr">
        <is>
          <t>Side-by-side before / after slider</t>
        </is>
      </c>
      <c r="F62" s="7" t="inlineStr">
        <is>
          <t>Drag-slider compare in proposal PDF + client view.</t>
        </is>
      </c>
      <c r="G62" s="7" t="inlineStr">
        <is>
          <t>Touch swipe on mobile; static side-by-side fallback in PDF.</t>
        </is>
      </c>
      <c r="H62" s="7" t="inlineStr">
        <is>
          <t>Phase 3</t>
        </is>
      </c>
      <c r="I62" s="7" t="inlineStr">
        <is>
          <t>P2</t>
        </is>
      </c>
      <c r="J62" s="7" t="inlineStr">
        <is>
          <t>M</t>
        </is>
      </c>
      <c r="K62" s="7" t="inlineStr">
        <is>
          <t>VIZ-05</t>
        </is>
      </c>
      <c r="L62" s="7" t="inlineStr">
        <is>
          <t>Brendan</t>
        </is>
      </c>
      <c r="M62" s="7" t="inlineStr">
        <is>
          <t>Not Started</t>
        </is>
      </c>
      <c r="N62" s="7" t="inlineStr"/>
    </row>
    <row r="63" ht="48" customHeight="1">
      <c r="A63" s="1" t="n"/>
      <c r="C63" s="7" t="inlineStr">
        <is>
          <t>QB-01</t>
        </is>
      </c>
      <c r="D63" s="7" t="inlineStr">
        <is>
          <t>Integration</t>
        </is>
      </c>
      <c r="E63" s="7" t="inlineStr">
        <is>
          <t>QuickBooks Online sync</t>
        </is>
      </c>
      <c r="F63" s="7" t="inlineStr">
        <is>
          <t>2-way sync invoices, bills, customers with QBO.</t>
        </is>
      </c>
      <c r="G63" s="7" t="inlineStr">
        <is>
          <t>OAuth flow; daily sync; conflict resolution.</t>
        </is>
      </c>
      <c r="H63" s="7" t="inlineStr">
        <is>
          <t>Phase 4</t>
        </is>
      </c>
      <c r="I63" s="7" t="inlineStr">
        <is>
          <t>P3</t>
        </is>
      </c>
      <c r="J63" s="7" t="inlineStr">
        <is>
          <t>XL</t>
        </is>
      </c>
      <c r="K63" s="7" t="inlineStr">
        <is>
          <t>INV-01</t>
        </is>
      </c>
      <c r="L63" s="7" t="inlineStr">
        <is>
          <t>Brendan</t>
        </is>
      </c>
      <c r="M63" s="7" t="inlineStr">
        <is>
          <t>Not Started</t>
        </is>
      </c>
      <c r="N63" s="7" t="inlineStr"/>
    </row>
    <row r="64" ht="48" customHeight="1">
      <c r="A64" s="1" t="n"/>
      <c r="C64" s="7" t="inlineStr">
        <is>
          <t>MULTI-01</t>
        </is>
      </c>
      <c r="D64" s="7" t="inlineStr">
        <is>
          <t>Admin</t>
        </is>
      </c>
      <c r="E64" s="7" t="inlineStr">
        <is>
          <t>Team roles (admin / foreman / sub)</t>
        </is>
      </c>
      <c r="F64" s="7" t="inlineStr">
        <is>
          <t>Multi-user workspaces with role-based access control.</t>
        </is>
      </c>
      <c r="G64" s="7" t="inlineStr">
        <is>
          <t>RBAC across all routes; invitation flow.</t>
        </is>
      </c>
      <c r="H64" s="7" t="inlineStr">
        <is>
          <t>Phase 4</t>
        </is>
      </c>
      <c r="I64" s="7" t="inlineStr">
        <is>
          <t>P3</t>
        </is>
      </c>
      <c r="J64" s="7" t="inlineStr">
        <is>
          <t>L</t>
        </is>
      </c>
      <c r="K64" s="7" t="inlineStr">
        <is>
          <t>AUTH-02</t>
        </is>
      </c>
      <c r="L64" s="7" t="inlineStr">
        <is>
          <t>Brendan</t>
        </is>
      </c>
      <c r="M64" s="7" t="inlineStr">
        <is>
          <t>Not Started</t>
        </is>
      </c>
      <c r="N64" s="7" t="inlineStr"/>
    </row>
    <row r="65" ht="48" customHeight="1">
      <c r="A65" s="1" t="n"/>
      <c r="C65" s="7" t="inlineStr">
        <is>
          <t>LAUNCH-01</t>
        </is>
      </c>
      <c r="D65" s="7" t="inlineStr">
        <is>
          <t>Launch</t>
        </is>
      </c>
      <c r="E65" s="7" t="inlineStr">
        <is>
          <t>Stripe billing</t>
        </is>
      </c>
      <c r="F65" s="7" t="inlineStr">
        <is>
          <t>Subscription plans + checkout + customer portal.</t>
        </is>
      </c>
      <c r="G65" s="7" t="inlineStr">
        <is>
          <t>Stripe Checkout; webhooks for plan changes.</t>
        </is>
      </c>
      <c r="H65" s="7" t="inlineStr">
        <is>
          <t>Phase 4</t>
        </is>
      </c>
      <c r="I65" s="7" t="inlineStr">
        <is>
          <t>P3</t>
        </is>
      </c>
      <c r="J65" s="7" t="inlineStr">
        <is>
          <t>M</t>
        </is>
      </c>
      <c r="K65" s="7" t="inlineStr"/>
      <c r="L65" s="7" t="inlineStr">
        <is>
          <t>Brendan</t>
        </is>
      </c>
      <c r="M65" s="7" t="inlineStr">
        <is>
          <t>Not Started</t>
        </is>
      </c>
      <c r="N65" s="7" t="inlineStr"/>
    </row>
    <row r="66" ht="48" customHeight="1">
      <c r="A66" s="1" t="n"/>
      <c r="C66" s="7" t="inlineStr">
        <is>
          <t>LAUNCH-02</t>
        </is>
      </c>
      <c r="D66" s="7" t="inlineStr">
        <is>
          <t>Launch</t>
        </is>
      </c>
      <c r="E66" s="7" t="inlineStr">
        <is>
          <t>iOS App Store build</t>
        </is>
      </c>
      <c r="F66" s="7" t="inlineStr">
        <is>
          <t>Capacitor wrapper of PWA; submit to App Store.</t>
        </is>
      </c>
      <c r="G66" s="7" t="inlineStr">
        <is>
          <t>TestFlight beta; App Store review approved.</t>
        </is>
      </c>
      <c r="H66" s="7" t="inlineStr">
        <is>
          <t>Phase 4</t>
        </is>
      </c>
      <c r="I66" s="7" t="inlineStr">
        <is>
          <t>P3</t>
        </is>
      </c>
      <c r="J66" s="7" t="inlineStr">
        <is>
          <t>L</t>
        </is>
      </c>
      <c r="K66" s="7" t="inlineStr"/>
      <c r="L66" s="7" t="inlineStr">
        <is>
          <t>Brendan</t>
        </is>
      </c>
      <c r="M66" s="7" t="inlineStr">
        <is>
          <t>Not Started</t>
        </is>
      </c>
      <c r="N66" s="7" t="inlineStr"/>
    </row>
    <row r="67" ht="48" customHeight="1">
      <c r="A67" s="1" t="n"/>
      <c r="C67" s="7" t="inlineStr">
        <is>
          <t>LAUNCH-03</t>
        </is>
      </c>
      <c r="D67" s="7" t="inlineStr">
        <is>
          <t>Launch</t>
        </is>
      </c>
      <c r="E67" s="7" t="inlineStr">
        <is>
          <t>Android Play Store build</t>
        </is>
      </c>
      <c r="F67" s="7" t="inlineStr">
        <is>
          <t>Capacitor wrapper; submit to Play Store.</t>
        </is>
      </c>
      <c r="G67" s="7" t="inlineStr">
        <is>
          <t>Internal track + production track approved.</t>
        </is>
      </c>
      <c r="H67" s="7" t="inlineStr">
        <is>
          <t>Phase 4</t>
        </is>
      </c>
      <c r="I67" s="7" t="inlineStr">
        <is>
          <t>P3</t>
        </is>
      </c>
      <c r="J67" s="7" t="inlineStr">
        <is>
          <t>L</t>
        </is>
      </c>
      <c r="K67" s="7" t="inlineStr"/>
      <c r="L67" s="7" t="inlineStr">
        <is>
          <t>Brendan</t>
        </is>
      </c>
      <c r="M67" s="7" t="inlineStr">
        <is>
          <t>Not Started</t>
        </is>
      </c>
      <c r="N67" s="7" t="inlineStr"/>
    </row>
    <row r="68" ht="48" customHeight="1">
      <c r="A68" s="1" t="n"/>
      <c r="C68" s="7" t="inlineStr">
        <is>
          <t>LAUNCH-04</t>
        </is>
      </c>
      <c r="D68" s="7" t="inlineStr">
        <is>
          <t>Launch</t>
        </is>
      </c>
      <c r="E68" s="7" t="inlineStr">
        <is>
          <t>Marketing site</t>
        </is>
      </c>
      <c r="F68" s="7" t="inlineStr">
        <is>
          <t>Public landing + pricing + features + signup CTA.</t>
        </is>
      </c>
      <c r="G68" s="7" t="inlineStr">
        <is>
          <t>Next.js public route; SEO optimized.</t>
        </is>
      </c>
      <c r="H68" s="7" t="inlineStr">
        <is>
          <t>Phase 4</t>
        </is>
      </c>
      <c r="I68" s="7" t="inlineStr">
        <is>
          <t>P3</t>
        </is>
      </c>
      <c r="J68" s="7" t="inlineStr">
        <is>
          <t>M</t>
        </is>
      </c>
      <c r="K68" s="7" t="inlineStr"/>
      <c r="L68" s="7" t="inlineStr">
        <is>
          <t>Brendan</t>
        </is>
      </c>
      <c r="M68" s="7" t="inlineStr">
        <is>
          <t>Not Started</t>
        </is>
      </c>
      <c r="N68" s="7" t="inlineStr"/>
    </row>
    <row r="69" ht="48" customHeight="1">
      <c r="A69" s="1" t="n"/>
      <c r="C69" s="7" t="inlineStr">
        <is>
          <t>LAUNCH-05</t>
        </is>
      </c>
      <c r="D69" s="7" t="inlineStr">
        <is>
          <t>Launch</t>
        </is>
      </c>
      <c r="E69" s="7" t="inlineStr">
        <is>
          <t>Help center / docs</t>
        </is>
      </c>
      <c r="F69" s="7" t="inlineStr">
        <is>
          <t>Self-serve help docs and onboarding guides.</t>
        </is>
      </c>
      <c r="G69" s="7" t="inlineStr">
        <is>
          <t>MDX or Notion-backed; searchable.</t>
        </is>
      </c>
      <c r="H69" s="7" t="inlineStr">
        <is>
          <t>Phase 4</t>
        </is>
      </c>
      <c r="I69" s="7" t="inlineStr">
        <is>
          <t>P3</t>
        </is>
      </c>
      <c r="J69" s="7" t="inlineStr">
        <is>
          <t>M</t>
        </is>
      </c>
      <c r="K69" s="7" t="inlineStr"/>
      <c r="L69" s="7" t="inlineStr">
        <is>
          <t>Brendan</t>
        </is>
      </c>
      <c r="M69" s="7" t="inlineStr">
        <is>
          <t>Not Started</t>
        </is>
      </c>
      <c r="N69" s="7" t="inlineStr"/>
    </row>
    <row r="70" ht="48" customHeight="1">
      <c r="A70" s="1" t="n"/>
      <c r="C70" s="7" t="inlineStr">
        <is>
          <t>LAUNCH-06</t>
        </is>
      </c>
      <c r="D70" s="7" t="inlineStr">
        <is>
          <t>Launch</t>
        </is>
      </c>
      <c r="E70" s="7" t="inlineStr">
        <is>
          <t>Compliance hardening (SOC2-lite)</t>
        </is>
      </c>
      <c r="F70" s="7" t="inlineStr">
        <is>
          <t>Audit log, data export, account deletion, encryption review.</t>
        </is>
      </c>
      <c r="G70" s="7" t="inlineStr">
        <is>
          <t>Audit log endpoint, export endpoint, deletion job, encryption-at-rest verified.</t>
        </is>
      </c>
      <c r="H70" s="7" t="inlineStr">
        <is>
          <t>Phase 4</t>
        </is>
      </c>
      <c r="I70" s="7" t="inlineStr">
        <is>
          <t>P3</t>
        </is>
      </c>
      <c r="J70" s="7" t="inlineStr">
        <is>
          <t>L</t>
        </is>
      </c>
      <c r="K70" s="7" t="inlineStr"/>
      <c r="L70" s="7" t="inlineStr">
        <is>
          <t>Brendan</t>
        </is>
      </c>
      <c r="M70" s="7" t="inlineStr">
        <is>
          <t>Not Started</t>
        </is>
      </c>
      <c r="N70" s="7" t="inlineStr"/>
    </row>
    <row r="71" ht="48" customHeight="1">
      <c r="A71" s="1" t="n"/>
      <c r="C71" s="7" t="inlineStr">
        <is>
          <t>LAUNCH-07</t>
        </is>
      </c>
      <c r="D71" s="7" t="inlineStr">
        <is>
          <t>Launch</t>
        </is>
      </c>
      <c r="E71" s="7" t="inlineStr">
        <is>
          <t>Multi-tenant security audit</t>
        </is>
      </c>
      <c r="F71" s="7" t="inlineStr">
        <is>
          <t>Pen-test for row-level isolation across tenants.</t>
        </is>
      </c>
      <c r="G71" s="7" t="inlineStr">
        <is>
          <t>External pen test report; remediation completed.</t>
        </is>
      </c>
      <c r="H71" s="7" t="inlineStr">
        <is>
          <t>Phase 4</t>
        </is>
      </c>
      <c r="I71" s="7" t="inlineStr">
        <is>
          <t>P3</t>
        </is>
      </c>
      <c r="J71" s="7" t="inlineStr">
        <is>
          <t>M</t>
        </is>
      </c>
      <c r="K71" s="7" t="inlineStr">
        <is>
          <t>MULTI-01</t>
        </is>
      </c>
      <c r="L71" s="7" t="inlineStr">
        <is>
          <t>Brendan</t>
        </is>
      </c>
      <c r="M71" s="7" t="inlineStr">
        <is>
          <t>Not Started</t>
        </is>
      </c>
      <c r="N71" s="7" t="inlineStr"/>
    </row>
    <row r="72" ht="48" customHeight="1">
      <c r="A72" s="1" t="n"/>
      <c r="C72" s="7" t="inlineStr">
        <is>
          <t>LAUNCH-08</t>
        </is>
      </c>
      <c r="D72" s="7" t="inlineStr">
        <is>
          <t>Launch</t>
        </is>
      </c>
      <c r="E72" s="7" t="inlineStr">
        <is>
          <t>Onboarding wizard</t>
        </is>
      </c>
      <c r="F72" s="7" t="inlineStr">
        <is>
          <t>Self-serve guided first-project creation.</t>
        </is>
      </c>
      <c r="G72" s="7" t="inlineStr">
        <is>
          <t>&lt;3 min from signup to first estimate created.</t>
        </is>
      </c>
      <c r="H72" s="7" t="inlineStr">
        <is>
          <t>Phase 4</t>
        </is>
      </c>
      <c r="I72" s="7" t="inlineStr">
        <is>
          <t>P3</t>
        </is>
      </c>
      <c r="J72" s="7" t="inlineStr">
        <is>
          <t>M</t>
        </is>
      </c>
      <c r="K72" s="7" t="inlineStr"/>
      <c r="L72" s="7" t="inlineStr">
        <is>
          <t>Brendan</t>
        </is>
      </c>
      <c r="M72" s="7" t="inlineStr">
        <is>
          <t>Not Started</t>
        </is>
      </c>
      <c r="N72" s="7" t="inlineStr"/>
    </row>
    <row r="73" ht="48" customHeight="1">
      <c r="A73" s="1" t="n"/>
      <c r="C73" s="7" t="inlineStr">
        <is>
          <t>AGT-01</t>
        </is>
      </c>
      <c r="D73" s="7" t="inlineStr">
        <is>
          <t>Automation</t>
        </is>
      </c>
      <c r="E73" s="7" t="inlineStr">
        <is>
          <t>Material-buying agent + delivery tracking</t>
        </is>
      </c>
      <c r="F73" s="7" t="inlineStr">
        <is>
          <t>Autonomous agent purchases approved project materials from supported suppliers and tracks delivery status.</t>
        </is>
      </c>
      <c r="G73" s="7" t="inlineStr">
        <is>
          <t>Reads MAT-01 list; user approves cart; agent places order via supplier API or email-cart; delivery status (ordered/shipped/delivered) updates project timeline; exception alerts on backorder.</t>
        </is>
      </c>
      <c r="H73" s="7" t="inlineStr">
        <is>
          <t>Phase 4</t>
        </is>
      </c>
      <c r="I73" s="7" t="inlineStr">
        <is>
          <t>P3</t>
        </is>
      </c>
      <c r="J73" s="7" t="inlineStr">
        <is>
          <t>XL</t>
        </is>
      </c>
      <c r="K73" s="7" t="inlineStr">
        <is>
          <t>MAT-01, MAT-02, REC-02</t>
        </is>
      </c>
      <c r="L73" s="7" t="inlineStr">
        <is>
          <t>Brendan</t>
        </is>
      </c>
      <c r="M73" s="7" t="inlineStr">
        <is>
          <t>Not Started</t>
        </is>
      </c>
      <c r="N73" s="7" t="inlineStr">
        <is>
          <t>Start with one supplier (Home Depot Pro) before generalizing. Requires user-stored payment + delivery address.</t>
        </is>
      </c>
    </row>
    <row r="74" ht="48" customHeight="1">
      <c r="A74" s="1" t="n"/>
      <c r="C74" s="7" t="inlineStr">
        <is>
          <t>AGT-02</t>
        </is>
      </c>
      <c r="D74" s="7" t="inlineStr">
        <is>
          <t>Automation</t>
        </is>
      </c>
      <c r="E74" s="7" t="inlineStr">
        <is>
          <t>Bid-send + follow-up agent</t>
        </is>
      </c>
      <c r="F74" s="7" t="inlineStr">
        <is>
          <t>Autonomous agent sends proposals to clients and follows up on a configurable cadence until accepted/declined.</t>
        </is>
      </c>
      <c r="G74" s="7" t="inlineStr">
        <is>
          <t>User approves send + cadence (e.g., D+3, D+7, D+14); agent emails follow-ups; stops on client reply, sign, or decline; weekly digest of open bids to contractor.</t>
        </is>
      </c>
      <c r="H74" s="7" t="inlineStr">
        <is>
          <t>Phase 4</t>
        </is>
      </c>
      <c r="I74" s="7" t="inlineStr">
        <is>
          <t>P3</t>
        </is>
      </c>
      <c r="J74" s="7" t="inlineStr">
        <is>
          <t>L</t>
        </is>
      </c>
      <c r="K74" s="7" t="inlineStr">
        <is>
          <t>PROP-03, SIGN-01</t>
        </is>
      </c>
      <c r="L74" s="7" t="inlineStr">
        <is>
          <t>Brendan</t>
        </is>
      </c>
      <c r="M74" s="7" t="inlineStr">
        <is>
          <t>Not Started</t>
        </is>
      </c>
      <c r="N74" s="7" t="inlineStr">
        <is>
          <t>Drafts must be human-approved before initial send; follow-ups can be auto-approved.</t>
        </is>
      </c>
    </row>
    <row r="75" ht="48" customHeight="1">
      <c r="A75" s="1" t="n"/>
      <c r="C75" s="7" t="inlineStr">
        <is>
          <t>AGT-03</t>
        </is>
      </c>
      <c r="D75" s="7" t="inlineStr">
        <is>
          <t>Automation</t>
        </is>
      </c>
      <c r="E75" s="7" t="inlineStr">
        <is>
          <t>Sub-estimate request agent</t>
        </is>
      </c>
      <c r="F75" s="7" t="inlineStr">
        <is>
          <t>Autonomous agent reaches out to selected subcontractors for trade estimates (e.g., electrical, plumbing) on a project.</t>
        </is>
      </c>
      <c r="G75" s="7" t="inlineStr">
        <is>
          <t>User picks trade + subs from directory; agent emails scope packet from estimate; collects responses (email or form); presents side-by-side comparison; nudges non-responders.</t>
        </is>
      </c>
      <c r="H75" s="7" t="inlineStr">
        <is>
          <t>Phase 4</t>
        </is>
      </c>
      <c r="I75" s="7" t="inlineStr">
        <is>
          <t>P3</t>
        </is>
      </c>
      <c r="J75" s="7" t="inlineStr">
        <is>
          <t>L</t>
        </is>
      </c>
      <c r="K75" s="7" t="inlineStr">
        <is>
          <t>SCHED-02, EST-02</t>
        </is>
      </c>
      <c r="L75" s="7" t="inlineStr">
        <is>
          <t>Brendan</t>
        </is>
      </c>
      <c r="M75" s="7" t="inlineStr">
        <is>
          <t>Not Started</t>
        </is>
      </c>
      <c r="N75" s="7" t="inlineStr">
        <is>
          <t>Sub directory is a precondition; consider rate-limit + opt-out per sub.</t>
        </is>
      </c>
    </row>
    <row r="76" ht="48" customHeight="1">
      <c r="A76" s="1" t="n"/>
      <c r="C76" s="7" t="inlineStr">
        <is>
          <t>CAT-04</t>
        </is>
      </c>
      <c r="D76" s="7" t="inlineStr">
        <is>
          <t>Catalog</t>
        </is>
      </c>
      <c r="E76" s="7" t="inlineStr">
        <is>
          <t>Shared catalog across users (backlog)</t>
        </is>
      </c>
      <c r="F76" s="7" t="inlineStr">
        <is>
          <t>Optional: contributors share + improve a community catalog; per-user overrides preserved.</t>
        </is>
      </c>
      <c r="G76" s="7" t="inlineStr">
        <is>
          <t>Opt-in; community items flagged; user can fork to private; contributor attribution.</t>
        </is>
      </c>
      <c r="H76" s="7" t="inlineStr">
        <is>
          <t>Phase 4</t>
        </is>
      </c>
      <c r="I76" s="7" t="inlineStr">
        <is>
          <t>P3</t>
        </is>
      </c>
      <c r="J76" s="7" t="inlineStr">
        <is>
          <t>L</t>
        </is>
      </c>
      <c r="K76" s="7" t="inlineStr">
        <is>
          <t>CAT-01, CAT-02</t>
        </is>
      </c>
      <c r="L76" s="7" t="inlineStr">
        <is>
          <t>Brendan</t>
        </is>
      </c>
      <c r="M76" s="7" t="inlineStr">
        <is>
          <t>Not Started</t>
        </is>
      </c>
      <c r="N76" s="7" t="inlineStr">
        <is>
          <t>Backlog item per scope decision: prototype stays isolated. Revisit only if friend feedback asks for it.</t>
        </is>
      </c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</sheetData>
  <conditionalFormatting sqref="A3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H8:H76">
    <cfRule type="expression" priority="3" dxfId="2">
      <formula>EXACT($H8,"MVP")</formula>
    </cfRule>
    <cfRule type="expression" priority="4" dxfId="3">
      <formula>EXACT($H8,"Phase 2")</formula>
    </cfRule>
    <cfRule type="expression" priority="5" dxfId="4">
      <formula>EXACT($H8,"Phase 3")</formula>
    </cfRule>
    <cfRule type="expression" priority="6" dxfId="5">
      <formula>EXACT($H8,"Phase 4")</formula>
    </cfRule>
  </conditionalFormatting>
  <dataValidations count="5">
    <dataValidation sqref="H8:H76" showDropDown="0" showInputMessage="0" showErrorMessage="0" allowBlank="0" type="list">
      <formula1>=A-Specific!$C$8:$C$11</formula1>
    </dataValidation>
    <dataValidation sqref="I8:I76" showDropDown="0" showInputMessage="0" showErrorMessage="0" allowBlank="0" type="list">
      <formula1>=A-Specific!$D$8:$D$11</formula1>
    </dataValidation>
    <dataValidation sqref="M8:M76" showDropDown="0" showInputMessage="0" showErrorMessage="0" allowBlank="0" type="list">
      <formula1>=A-Specific!$E$8:$E$12</formula1>
    </dataValidation>
    <dataValidation sqref="J8:J76" showDropDown="0" showInputMessage="0" showErrorMessage="0" allowBlank="0" type="list">
      <formula1>=A-Specific!$F$8:$F$11</formula1>
    </dataValidation>
    <dataValidation sqref="D8:D76" showDropDown="0" showInputMessage="0" showErrorMessage="0" allowBlank="0" type="list">
      <formula1>=A-Specific!$H$8:$H$28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9" customWidth="1" min="1" max="1"/>
    <col width="2.6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n"/>
      <c r="C1" s="2">
        <f>MID(CELL("filename",A1),FIND("[",CELL("filename",A1))+1,FIND("]",CELL("filename",A1))-FIND("[",CELL("filename",A1))-1)&amp;" - "&amp;MID(CELL("filename",A1),FIND("]",CELL("filename",A1))+1,255)</f>
        <v/>
      </c>
    </row>
    <row r="2">
      <c r="A2" s="1" t="n"/>
    </row>
    <row r="3" ht="32" customHeight="1">
      <c r="A3" s="3">
        <f>IF(TRUE,"OK","ERROR")</f>
        <v/>
      </c>
      <c r="C3" s="4" t="inlineStr">
        <is>
          <t>A-Specific — Picklists &amp; Constants</t>
        </is>
      </c>
    </row>
    <row r="4">
      <c r="A4" s="1" t="n"/>
    </row>
    <row r="5">
      <c r="A5" s="1" t="n"/>
    </row>
    <row r="6">
      <c r="A6" s="1" t="n"/>
    </row>
    <row r="7">
      <c r="A7" s="1" t="n"/>
      <c r="C7" s="5" t="inlineStr">
        <is>
          <t>Phase</t>
        </is>
      </c>
      <c r="D7" s="5" t="inlineStr">
        <is>
          <t>Priority</t>
        </is>
      </c>
      <c r="E7" s="5" t="inlineStr">
        <is>
          <t>Status</t>
        </is>
      </c>
      <c r="F7" s="5" t="inlineStr">
        <is>
          <t>Effort</t>
        </is>
      </c>
      <c r="G7" s="5" t="inlineStr">
        <is>
          <t>Effort_Pts</t>
        </is>
      </c>
      <c r="H7" s="5" t="inlineStr">
        <is>
          <t>Category</t>
        </is>
      </c>
    </row>
    <row r="8">
      <c r="A8" s="1" t="n"/>
      <c r="C8" s="6" t="inlineStr">
        <is>
          <t>MVP</t>
        </is>
      </c>
      <c r="D8" s="6" t="inlineStr">
        <is>
          <t>P0</t>
        </is>
      </c>
      <c r="E8" s="6" t="inlineStr">
        <is>
          <t>Not Started</t>
        </is>
      </c>
      <c r="F8" s="6" t="inlineStr">
        <is>
          <t>S</t>
        </is>
      </c>
      <c r="G8" s="6" t="n">
        <v>1</v>
      </c>
      <c r="H8" s="6" t="inlineStr">
        <is>
          <t>Auth</t>
        </is>
      </c>
    </row>
    <row r="9">
      <c r="A9" s="1" t="n"/>
      <c r="C9" s="6" t="inlineStr">
        <is>
          <t>Phase 2</t>
        </is>
      </c>
      <c r="D9" s="6" t="inlineStr">
        <is>
          <t>P1</t>
        </is>
      </c>
      <c r="E9" s="6" t="inlineStr">
        <is>
          <t>In Progress</t>
        </is>
      </c>
      <c r="F9" s="6" t="inlineStr">
        <is>
          <t>M</t>
        </is>
      </c>
      <c r="G9" s="6" t="n">
        <v>3</v>
      </c>
      <c r="H9" s="6" t="inlineStr">
        <is>
          <t>Projects</t>
        </is>
      </c>
    </row>
    <row r="10">
      <c r="A10" s="1" t="n"/>
      <c r="C10" s="6" t="inlineStr">
        <is>
          <t>Phase 3</t>
        </is>
      </c>
      <c r="D10" s="6" t="inlineStr">
        <is>
          <t>P2</t>
        </is>
      </c>
      <c r="E10" s="6" t="inlineStr">
        <is>
          <t>In Review</t>
        </is>
      </c>
      <c r="F10" s="6" t="inlineStr">
        <is>
          <t>L</t>
        </is>
      </c>
      <c r="G10" s="6" t="n">
        <v>7</v>
      </c>
      <c r="H10" s="6" t="inlineStr">
        <is>
          <t>Estimation</t>
        </is>
      </c>
    </row>
    <row r="11">
      <c r="A11" s="1" t="n"/>
      <c r="C11" s="6" t="inlineStr">
        <is>
          <t>Phase 4</t>
        </is>
      </c>
      <c r="D11" s="6" t="inlineStr">
        <is>
          <t>P3</t>
        </is>
      </c>
      <c r="E11" s="6" t="inlineStr">
        <is>
          <t>Done</t>
        </is>
      </c>
      <c r="F11" s="6" t="inlineStr">
        <is>
          <t>XL</t>
        </is>
      </c>
      <c r="G11" s="6" t="n">
        <v>12</v>
      </c>
      <c r="H11" s="6" t="inlineStr">
        <is>
          <t>AI Capture</t>
        </is>
      </c>
    </row>
    <row r="12">
      <c r="A12" s="1" t="n"/>
      <c r="E12" s="6" t="inlineStr">
        <is>
          <t>Deferred</t>
        </is>
      </c>
      <c r="H12" s="6" t="inlineStr">
        <is>
          <t>Catalog</t>
        </is>
      </c>
    </row>
    <row r="13">
      <c r="A13" s="1" t="n"/>
      <c r="H13" s="6" t="inlineStr">
        <is>
          <t>Materials</t>
        </is>
      </c>
    </row>
    <row r="14">
      <c r="A14" s="1" t="n"/>
      <c r="H14" s="6" t="inlineStr">
        <is>
          <t>Receipts</t>
        </is>
      </c>
    </row>
    <row r="15">
      <c r="A15" s="1" t="n"/>
      <c r="H15" s="6" t="inlineStr">
        <is>
          <t>Proposals</t>
        </is>
      </c>
    </row>
    <row r="16">
      <c r="A16" s="1" t="n"/>
      <c r="H16" s="6" t="inlineStr">
        <is>
          <t>E-Sign</t>
        </is>
      </c>
    </row>
    <row r="17">
      <c r="A17" s="1" t="n"/>
      <c r="H17" s="6" t="inlineStr">
        <is>
          <t>Scheduling</t>
        </is>
      </c>
    </row>
    <row r="18">
      <c r="A18" s="1" t="n"/>
      <c r="H18" s="6" t="inlineStr">
        <is>
          <t>Time</t>
        </is>
      </c>
    </row>
    <row r="19">
      <c r="A19" s="1" t="n"/>
      <c r="H19" s="6" t="inlineStr">
        <is>
          <t>Invoicing</t>
        </is>
      </c>
    </row>
    <row r="20">
      <c r="A20" s="1" t="n"/>
      <c r="H20" s="6" t="inlineStr">
        <is>
          <t>Change Orders</t>
        </is>
      </c>
    </row>
    <row r="21">
      <c r="A21" s="1" t="n"/>
      <c r="H21" s="6" t="inlineStr">
        <is>
          <t>1099/Tax</t>
        </is>
      </c>
    </row>
    <row r="22">
      <c r="A22" s="1" t="n"/>
      <c r="H22" s="6" t="inlineStr">
        <is>
          <t>Client</t>
        </is>
      </c>
    </row>
    <row r="23">
      <c r="A23" s="1" t="n"/>
      <c r="H23" s="6" t="inlineStr">
        <is>
          <t>Visualization</t>
        </is>
      </c>
    </row>
    <row r="24">
      <c r="A24" s="1" t="n"/>
      <c r="H24" s="6" t="inlineStr">
        <is>
          <t>Integration</t>
        </is>
      </c>
    </row>
    <row r="25">
      <c r="A25" s="1" t="n"/>
      <c r="H25" s="6" t="inlineStr">
        <is>
          <t>Admin</t>
        </is>
      </c>
    </row>
    <row r="26">
      <c r="A26" s="1" t="n"/>
      <c r="H26" s="6" t="inlineStr">
        <is>
          <t>Launch</t>
        </is>
      </c>
    </row>
    <row r="27">
      <c r="A27" s="1" t="n"/>
      <c r="H27" s="6" t="inlineStr">
        <is>
          <t>Infrastructure</t>
        </is>
      </c>
    </row>
    <row r="28">
      <c r="A28" s="1" t="n"/>
      <c r="H28" s="6" t="inlineStr">
        <is>
          <t>Automation</t>
        </is>
      </c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</sheetData>
  <conditionalFormatting sqref="A3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9" customWidth="1" min="1" max="1"/>
    <col width="2.66" customWidth="1" min="2" max="2"/>
    <col width="5" customWidth="1" min="3" max="3"/>
    <col width="50" customWidth="1" min="4" max="4"/>
    <col width="12" customWidth="1" min="5" max="5"/>
    <col width="80" customWidth="1" min="6" max="6"/>
  </cols>
  <sheetData>
    <row r="1">
      <c r="A1" s="1" t="n"/>
      <c r="C1" s="2">
        <f>MID(CELL("filename",A1),FIND("[",CELL("filename",A1))+1,FIND("]",CELL("filename",A1))-FIND("[",CELL("filename",A1))-1)&amp;" - "&amp;MID(CELL("filename",A1),FIND("]",CELL("filename",A1))+1,255)</f>
        <v/>
      </c>
    </row>
    <row r="2">
      <c r="A2" s="1" t="n"/>
    </row>
    <row r="3" ht="32" customHeight="1">
      <c r="A3" s="3">
        <f>IF(COUNTIF(D8:D20,"FAIL")=0,"OK","ERROR")</f>
        <v/>
      </c>
      <c r="C3" s="4" t="inlineStr">
        <is>
          <t>Z-Validation-Checks — Workbook Integrity</t>
        </is>
      </c>
    </row>
    <row r="4">
      <c r="A4" s="1" t="n"/>
    </row>
    <row r="5">
      <c r="A5" s="1" t="n"/>
    </row>
    <row r="6">
      <c r="A6" s="1" t="n"/>
    </row>
    <row r="7">
      <c r="A7" s="1" t="n"/>
      <c r="C7" s="5" t="inlineStr">
        <is>
          <t>#</t>
        </is>
      </c>
      <c r="D7" s="5" t="inlineStr">
        <is>
          <t>Check</t>
        </is>
      </c>
      <c r="E7" s="5" t="inlineStr">
        <is>
          <t>Result</t>
        </is>
      </c>
      <c r="F7" s="5" t="inlineStr">
        <is>
          <t>Detail</t>
        </is>
      </c>
    </row>
    <row r="8">
      <c r="A8" s="1" t="n"/>
      <c r="C8" s="18" t="n">
        <v>1</v>
      </c>
      <c r="D8" s="18" t="inlineStr">
        <is>
          <t>All Feature_IDs are unique</t>
        </is>
      </c>
      <c r="E8" s="18">
        <f>IF(SUMPRODUCT((COUNTIF('I-Features'!$C$8:$C$76,'I-Features'!$C$8:$C$76)&gt;1)*1)=0,"PASS","FAIL")</f>
        <v/>
      </c>
      <c r="F8" s="18">
        <f>SUMPRODUCT((COUNTIF('I-Features'!$C$8:$C$76,'I-Features'!$C$8:$C$76)&gt;1)*1)&amp;" duplicate ID(s) detected"</f>
        <v/>
      </c>
    </row>
    <row r="9">
      <c r="A9" s="1" t="n"/>
      <c r="C9" s="18" t="n">
        <v>2</v>
      </c>
      <c r="D9" s="18" t="inlineStr">
        <is>
          <t>All Phase values are valid</t>
        </is>
      </c>
      <c r="E9" s="18">
        <f>IF(SUMPRODUCT((COUNTIF('A-Specific'!$C$8:$C$11,'I-Features'!$H$8:$H$76)=0)*1)=0,"PASS","FAIL")</f>
        <v/>
      </c>
      <c r="F9" s="18">
        <f>SUMPRODUCT((COUNTIF('A-Specific'!$C$8:$C$11,'I-Features'!$H$8:$H$76)=0)*1)&amp;" invalid phase value(s)"</f>
        <v/>
      </c>
    </row>
    <row r="10">
      <c r="A10" s="1" t="n"/>
      <c r="C10" s="18" t="n">
        <v>3</v>
      </c>
      <c r="D10" s="18" t="inlineStr">
        <is>
          <t>All Priority values are valid</t>
        </is>
      </c>
      <c r="E10" s="18">
        <f>IF(SUMPRODUCT((COUNTIF('A-Specific'!$D$8:$D$11,'I-Features'!$I$8:$I$76)=0)*1)=0,"PASS","FAIL")</f>
        <v/>
      </c>
      <c r="F10" s="18">
        <f>SUMPRODUCT((COUNTIF('A-Specific'!$D$8:$D$11,'I-Features'!$I$8:$I$76)=0)*1)&amp;" invalid priority value(s)"</f>
        <v/>
      </c>
    </row>
    <row r="11">
      <c r="A11" s="1" t="n"/>
      <c r="C11" s="18" t="n">
        <v>4</v>
      </c>
      <c r="D11" s="18" t="inlineStr">
        <is>
          <t>All Effort values are valid</t>
        </is>
      </c>
      <c r="E11" s="18">
        <f>IF(SUMPRODUCT((COUNTIF('A-Specific'!$F$8:$F$11,'I-Features'!$J$8:$J$76)=0)*1)=0,"PASS","FAIL")</f>
        <v/>
      </c>
      <c r="F11" s="18">
        <f>SUMPRODUCT((COUNTIF('A-Specific'!$F$8:$F$11,'I-Features'!$J$8:$J$76)=0)*1)&amp;" invalid effort value(s)"</f>
        <v/>
      </c>
    </row>
    <row r="12">
      <c r="A12" s="1" t="n"/>
      <c r="C12" s="18" t="n">
        <v>5</v>
      </c>
      <c r="D12" s="18" t="inlineStr">
        <is>
          <t>All Status values are valid</t>
        </is>
      </c>
      <c r="E12" s="18">
        <f>IF(SUMPRODUCT((COUNTIF('A-Specific'!$E$8:$E$12,'I-Features'!$M$8:$M$76)=0)*1)=0,"PASS","FAIL")</f>
        <v/>
      </c>
      <c r="F12" s="18">
        <f>SUMPRODUCT((COUNTIF('A-Specific'!$E$8:$E$12,'I-Features'!$M$8:$M$76)=0)*1)&amp;" invalid status value(s)"</f>
        <v/>
      </c>
    </row>
    <row r="13">
      <c r="A13" s="1" t="n"/>
      <c r="C13" s="18" t="n">
        <v>6</v>
      </c>
      <c r="D13" s="18" t="inlineStr">
        <is>
          <t>Total feature count = 69</t>
        </is>
      </c>
      <c r="E13" s="18">
        <f>IF(COUNTA('I-Features'!$C$8:$C$76)=69,"PASS","FAIL")</f>
        <v/>
      </c>
      <c r="F13" s="18">
        <f>"Found "&amp;COUNTA('I-Features'!$C$8:$C$76)&amp;" features (expected 69)"</f>
        <v/>
      </c>
    </row>
    <row r="14">
      <c r="A14" s="1" t="n"/>
      <c r="C14" s="18" t="n">
        <v>7</v>
      </c>
      <c r="D14" s="18" t="inlineStr">
        <is>
          <t>MVP feature count = 21</t>
        </is>
      </c>
      <c r="E14" s="18">
        <f>IF(COUNTIF('I-Features'!$H$8:$H$76,"MVP")=21,"PASS","FAIL")</f>
        <v/>
      </c>
      <c r="F14" s="18">
        <f>"Found "&amp;COUNTIF('I-Features'!$H$8:$H$76,"MVP")&amp;" MVP features (expected 21)"</f>
        <v/>
      </c>
    </row>
    <row r="15">
      <c r="A15" s="1" t="n"/>
      <c r="C15" s="18" t="n">
        <v>8</v>
      </c>
      <c r="D15" s="18" t="inlineStr">
        <is>
          <t>Phase 2 feature count = 28</t>
        </is>
      </c>
      <c r="E15" s="18">
        <f>IF(COUNTIF('I-Features'!$H$8:$H$76,"Phase 2")=28,"PASS","FAIL")</f>
        <v/>
      </c>
      <c r="F15" s="18">
        <f>"Found "&amp;COUNTIF('I-Features'!$H$8:$H$76,"Phase 2")&amp;" Phase 2 features (expected 28)"</f>
        <v/>
      </c>
    </row>
    <row r="16">
      <c r="A16" s="1" t="n"/>
      <c r="C16" s="18" t="n">
        <v>9</v>
      </c>
      <c r="D16" s="18" t="inlineStr">
        <is>
          <t>Phase 3 feature count = 6</t>
        </is>
      </c>
      <c r="E16" s="18">
        <f>IF(COUNTIF('I-Features'!$H$8:$H$76,"Phase 3")=6,"PASS","FAIL")</f>
        <v/>
      </c>
      <c r="F16" s="18">
        <f>"Found "&amp;COUNTIF('I-Features'!$H$8:$H$76,"Phase 3")&amp;" Phase 3 features (expected 6)"</f>
        <v/>
      </c>
    </row>
    <row r="17">
      <c r="A17" s="1" t="n"/>
      <c r="C17" s="18" t="n">
        <v>10</v>
      </c>
      <c r="D17" s="18" t="inlineStr">
        <is>
          <t>Phase 4 feature count = 14</t>
        </is>
      </c>
      <c r="E17" s="18">
        <f>IF(COUNTIF('I-Features'!$H$8:$H$76,"Phase 4")=14,"PASS","FAIL")</f>
        <v/>
      </c>
      <c r="F17" s="18">
        <f>"Found "&amp;COUNTIF('I-Features'!$H$8:$H$76,"Phase 4")&amp;" Phase 4 features (expected 14)"</f>
        <v/>
      </c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</sheetData>
  <conditionalFormatting sqref="A3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E8:E17">
    <cfRule type="cellIs" priority="3" operator="equal" dxfId="6">
      <formula>"PASS"</formula>
    </cfRule>
    <cfRule type="cellIs" priority="4" operator="equal" dxfId="7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2026-05-06T15:48:05Z</dcterms:created>
  <dcterms:modified xmlns:dcterms="http://purl.org/dc/terms/" xmlns:xsi="http://www.w3.org/2001/XMLSchema-instance" xsi:type="dcterms:W3CDTF">2026-05-06T15:48:06Z</dcterms:modified>
</cp:coreProperties>
</file>